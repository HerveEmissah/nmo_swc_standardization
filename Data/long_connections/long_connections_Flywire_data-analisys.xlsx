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uedu-my.sharepoint.com/personal/ctecuatl_gmu_edu/Documents/"/>
    </mc:Choice>
  </mc:AlternateContent>
  <xr:revisionPtr revIDLastSave="165" documentId="8_{DD44C40A-44A6-4808-A83A-1DE1500506C2}" xr6:coauthVersionLast="47" xr6:coauthVersionMax="47" xr10:uidLastSave="{1001E168-C8C4-40D5-882F-C3F89484B8BD}"/>
  <bookViews>
    <workbookView xWindow="-108" yWindow="-108" windowWidth="23256" windowHeight="12456" xr2:uid="{81B0D757-7741-49C2-8A84-B970689371B3}"/>
  </bookViews>
  <sheets>
    <sheet name="Flywire" sheetId="1" r:id="rId1"/>
    <sheet name="Peng" sheetId="2" r:id="rId2"/>
    <sheet name="Processing time" sheetId="3" r:id="rId3"/>
  </sheets>
  <definedNames>
    <definedName name="_xlchart.v1.0" hidden="1">Flywire!$P$17</definedName>
    <definedName name="_xlchart.v1.1" hidden="1">Flywire!$I$2</definedName>
    <definedName name="_xlchart.v1.2" hidden="1">Flywire!$I$2:$I$265</definedName>
    <definedName name="_xlchart.v1.3" hidden="1">Flywire!$P$17</definedName>
    <definedName name="_xlchart.v1.4" hidden="1">Flywire!$I$2</definedName>
    <definedName name="_xlchart.v1.5" hidden="1">Flywire!$I$2:$I$265</definedName>
    <definedName name="_xlchart.v1.6" hidden="1">Flywire!$P$17</definedName>
    <definedName name="_xlchart.v1.7" hidden="1">Flywire!$I$2</definedName>
    <definedName name="_xlchart.v1.8" hidden="1">Flywire!$I$2:$I$265</definedName>
    <definedName name="_xlchart.v1.9" hidden="1">Flywire!$P$17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5" i="1" l="1"/>
  <c r="I274" i="1"/>
  <c r="I273" i="1"/>
  <c r="I272" i="1"/>
  <c r="I271" i="1"/>
  <c r="I270" i="1"/>
  <c r="I269" i="1"/>
  <c r="I268" i="1"/>
  <c r="I151" i="1" l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3" i="2"/>
  <c r="I62" i="2" s="1"/>
  <c r="I4" i="2"/>
  <c r="I5" i="2"/>
  <c r="I2" i="2"/>
  <c r="F62" i="2"/>
  <c r="E62" i="2"/>
  <c r="D62" i="2"/>
  <c r="F61" i="2"/>
  <c r="F63" i="2" s="1"/>
  <c r="E61" i="2"/>
  <c r="E63" i="2" s="1"/>
  <c r="D61" i="2"/>
  <c r="F60" i="2"/>
  <c r="E60" i="2"/>
  <c r="D60" i="2"/>
  <c r="F270" i="1"/>
  <c r="F269" i="1"/>
  <c r="F268" i="1"/>
  <c r="D268" i="1"/>
  <c r="E270" i="1"/>
  <c r="E269" i="1"/>
  <c r="E268" i="1"/>
  <c r="D270" i="1"/>
  <c r="D26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F271" i="1" l="1"/>
  <c r="I60" i="2"/>
  <c r="D63" i="2"/>
  <c r="I61" i="2"/>
  <c r="I63" i="2" s="1"/>
  <c r="D271" i="1"/>
  <c r="E271" i="1"/>
</calcChain>
</file>

<file path=xl/sharedStrings.xml><?xml version="1.0" encoding="utf-8"?>
<sst xmlns="http://schemas.openxmlformats.org/spreadsheetml/2006/main" count="566" uniqueCount="287">
  <si>
    <t>File name</t>
  </si>
  <si>
    <t>Mean distance</t>
  </si>
  <si>
    <t>StDev</t>
  </si>
  <si>
    <t>Num long connections</t>
  </si>
  <si>
    <t>Num long connections removed</t>
  </si>
  <si>
    <t xml:space="preserve">Num isolated node removed </t>
  </si>
  <si>
    <t>Processing time</t>
  </si>
  <si>
    <t>720575940613151911.CNG.longfixed.swc</t>
  </si>
  <si>
    <t>720575940613505587.CNG.longfixed.swc</t>
  </si>
  <si>
    <t>720575940613152423.CNG.longfixed.swc</t>
  </si>
  <si>
    <t>720575940613167007.CNG.longfixed.swc</t>
  </si>
  <si>
    <t>720575940613071313.CNG.longfixed.swc</t>
  </si>
  <si>
    <t>720575940612863138.CNG.longfixed.swc</t>
  </si>
  <si>
    <t>720575940613311151.CNG.longfixed.swc</t>
  </si>
  <si>
    <t>720575940612376690.CNG.longfixed.swc</t>
  </si>
  <si>
    <t>720575940613428707.CNG.longfixed.swc</t>
  </si>
  <si>
    <t>720575940612840982.CNG.longfixed.swc</t>
  </si>
  <si>
    <t>720575940613419695.CNG.longfixed.swc</t>
  </si>
  <si>
    <t>720575940612284569.CNG.longfixed.swc</t>
  </si>
  <si>
    <t>720575940613257187.CNG.longfixed.swc</t>
  </si>
  <si>
    <t>720575940612924054.CNG.longfixed.swc</t>
  </si>
  <si>
    <t>720575940612921458.CNG.longfixed.swc</t>
  </si>
  <si>
    <t>720575940613154582.CNG.longfixed.swc</t>
  </si>
  <si>
    <t>720575940613560994.CNG.longfixed.swc</t>
  </si>
  <si>
    <t>720575940613163170.CNG.longfixed.swc</t>
  </si>
  <si>
    <t>720575940612218547.CNG.longfixed.swc</t>
  </si>
  <si>
    <t>720575940613002981.CNG.longfixed.swc</t>
  </si>
  <si>
    <t>Average</t>
  </si>
  <si>
    <t>SD</t>
  </si>
  <si>
    <t>N</t>
  </si>
  <si>
    <t>Error</t>
  </si>
  <si>
    <t>milliseconds</t>
  </si>
  <si>
    <t>seconds</t>
  </si>
  <si>
    <t>Temporal scale</t>
  </si>
  <si>
    <t>18457_00109.CNG.longfixed.swc</t>
  </si>
  <si>
    <t>18458_00550.CNG.longfixed.swc</t>
  </si>
  <si>
    <t>18457_00241.CNG.longfixed.swc</t>
  </si>
  <si>
    <t>18458_00492.CNG.longfixed.swc</t>
  </si>
  <si>
    <t>minutes</t>
  </si>
  <si>
    <t>720575940613733613.CNG.longfixed.swc</t>
  </si>
  <si>
    <t>720575940615411595.CNG.longfixed.swc</t>
  </si>
  <si>
    <t>720575940613705187.CNG.longfixed.swc</t>
  </si>
  <si>
    <t>720575940613952479.CNG.longfixed.swc</t>
  </si>
  <si>
    <t>720575940613728674.CNG.longfixed.swc</t>
  </si>
  <si>
    <t>720575940615604802.CNG.longfixed.swc</t>
  </si>
  <si>
    <t>720575940613718824.CNG.longfixed.swc</t>
  </si>
  <si>
    <t>720575940613733794.CNG.longfixed.swc</t>
  </si>
  <si>
    <t>720575940614413218.CNG.longfixed.swc</t>
  </si>
  <si>
    <t>720575940613787875.CNG.longfixed.swc</t>
  </si>
  <si>
    <t>720575940615625026.CNG.longfixed.swc</t>
  </si>
  <si>
    <t>720575940615069095.CNG.longfixed.swc</t>
  </si>
  <si>
    <t>720575940614418897.CNG.longfixed.swc</t>
  </si>
  <si>
    <t>720575940613748707.CNG.longfixed.swc</t>
  </si>
  <si>
    <t>720575940614800908.CNG.longfixed.swc</t>
  </si>
  <si>
    <t>720575940614083596.CNG.longfixed.swc</t>
  </si>
  <si>
    <t>720575940615545922.CNG.longfixed.swc</t>
  </si>
  <si>
    <t>720575940615571423.CNG.longfixed.swc</t>
  </si>
  <si>
    <t>720575940613724387.CNG.longfixed.swc</t>
  </si>
  <si>
    <t>720575940615436703.CNG.longfixed.swc</t>
  </si>
  <si>
    <t>720575940614160179.CNG.longfixed.swc</t>
  </si>
  <si>
    <t>720575940613716973.CNG.longfixed.swc</t>
  </si>
  <si>
    <t>720575940615363295.CNG.longfixed.swc</t>
  </si>
  <si>
    <t>720575940614295848.CNG.longfixed.swc</t>
  </si>
  <si>
    <t>720575940613757992.CNG.longfixed.swc</t>
  </si>
  <si>
    <t>720575940614684066.CNG.longfixed.swc</t>
  </si>
  <si>
    <t>720575940614567731.CNG.longfixed.swc</t>
  </si>
  <si>
    <t>720575940614431378.CNG.longfixed.swc</t>
  </si>
  <si>
    <t>720575940615482434.CNG.longfixed.swc</t>
  </si>
  <si>
    <t>720575940615734850.CNG.longfixed.swc</t>
  </si>
  <si>
    <t>720575940614214184.CNG.longfixed.swc</t>
  </si>
  <si>
    <t>720575940614843303.CNG.longfixed.swc</t>
  </si>
  <si>
    <t>720575940613757602.CNG.longfixed.swc</t>
  </si>
  <si>
    <t>720575940615625926.CNG.longfixed.swc</t>
  </si>
  <si>
    <t>720575940615732310.CNG.longfixed.swc</t>
  </si>
  <si>
    <t>720575940614557078.CNG.longfixed.swc</t>
  </si>
  <si>
    <t>720575940614621661.CNG.longfixed.swc</t>
  </si>
  <si>
    <t>720575940613716429.CNG.longfixed.swc</t>
  </si>
  <si>
    <t>720575940613716655.CNG.longfixed.swc</t>
  </si>
  <si>
    <t>720575940614137255.CNG.longfixed.swc</t>
  </si>
  <si>
    <t>720575940614686662.CNG.longfixed.swc</t>
  </si>
  <si>
    <t>720575940614345110.CNG.longfixed.swc</t>
  </si>
  <si>
    <t>720575940613702125.CNG.longfixed.swc</t>
  </si>
  <si>
    <t>720575940613716461.CNG.longfixed.swc</t>
  </si>
  <si>
    <t>720575940613758504.CNG.longfixed.swc</t>
  </si>
  <si>
    <t>720575940613710511.CNG.longfixed.swc</t>
  </si>
  <si>
    <t>720575940613753468.CNG.longfixed.swc</t>
  </si>
  <si>
    <t>720575940615783234.CNG.longfixed.swc</t>
  </si>
  <si>
    <t>720575940613719294.CNG.longfixed.swc</t>
  </si>
  <si>
    <t>720575940613690023.CNG.longfixed.swc</t>
  </si>
  <si>
    <t>720575940615812255.CNG.longfixed.swc</t>
  </si>
  <si>
    <t>720575940614035631.CNG.longfixed.swc</t>
  </si>
  <si>
    <t>720575940615757122.CNG.longfixed.swc</t>
  </si>
  <si>
    <t>720575940614308305.CNG.longfixed.swc</t>
  </si>
  <si>
    <t>720575940613752301.CNG.longfixed.swc</t>
  </si>
  <si>
    <t>720575940613747562.CNG.longfixed.swc</t>
  </si>
  <si>
    <t>720575940613757667.CNG.longfixed.swc</t>
  </si>
  <si>
    <t>720575940615795359.CNG.longfixed.swc</t>
  </si>
  <si>
    <t>720575940614365343.CNG.longfixed.swc</t>
  </si>
  <si>
    <t>720575940615117195.CNG.longfixed.swc</t>
  </si>
  <si>
    <t>720575940613751658.CNG.longfixed.swc</t>
  </si>
  <si>
    <t>720575940615616012.CNG.longfixed.swc</t>
  </si>
  <si>
    <t>720575940614364456.CNG.longfixed.swc</t>
  </si>
  <si>
    <t>720575940613711279.CNG.longfixed.swc</t>
  </si>
  <si>
    <t>720575940614684847.CNG.longfixed.swc</t>
  </si>
  <si>
    <t>720575940613733672.CNG.longfixed.swc</t>
  </si>
  <si>
    <t>720575940615668597.CNG.longfixed.swc</t>
  </si>
  <si>
    <t>720575940615401589.CNG.longfixed.swc</t>
  </si>
  <si>
    <t>720575940614045858.CNG.longfixed.swc</t>
  </si>
  <si>
    <t>720575940613729711.CNG.longfixed.swc</t>
  </si>
  <si>
    <t>720575940613740455.CNG.longfixed.swc</t>
  </si>
  <si>
    <t>720575940613719038.CNG.longfixed.swc</t>
  </si>
  <si>
    <t>720575940615408757.CNG.longfixed.swc</t>
  </si>
  <si>
    <t>720575940613680039.CNG.longfixed.swc</t>
  </si>
  <si>
    <t>720575940614324008.CNG.longfixed.swc</t>
  </si>
  <si>
    <t>720575940615442847.CNG.longfixed.swc</t>
  </si>
  <si>
    <t>720575940615010814.CNG.longfixed.swc</t>
  </si>
  <si>
    <t>720575940613720557.CNG.longfixed.swc</t>
  </si>
  <si>
    <t>720575940613712109.CNG.longfixed.swc</t>
  </si>
  <si>
    <t>720575940614036452.CNG.longfixed.swc</t>
  </si>
  <si>
    <t>720575940613747949.CNG.longfixed.swc</t>
  </si>
  <si>
    <t>720575940613753007.CNG.longfixed.swc</t>
  </si>
  <si>
    <t>720575940613685485.CNG.longfixed.swc</t>
  </si>
  <si>
    <t>720575940613744894.CNG.longfixed.swc</t>
  </si>
  <si>
    <t>720575940613712365.CNG.longfixed.swc</t>
  </si>
  <si>
    <t>720575940613742317.CNG.longfixed.swc</t>
  </si>
  <si>
    <t>720575940613720239.CNG.longfixed.swc</t>
  </si>
  <si>
    <t>720575940613737768.CNG.longfixed.swc</t>
  </si>
  <si>
    <t>720575940613724131.CNG.longfixed.swc</t>
  </si>
  <si>
    <t>720575940615761803.CNG.longfixed.swc</t>
  </si>
  <si>
    <t>720575940614153026.CNG.longfixed.swc</t>
  </si>
  <si>
    <t>720575940614620381.CNG.longfixed.swc</t>
  </si>
  <si>
    <t>720575940615081322.CNG.longfixed.swc</t>
  </si>
  <si>
    <t>720575940613711254.CNG.longfixed.swc</t>
  </si>
  <si>
    <t>720575940613710954.CNG.longfixed.swc</t>
  </si>
  <si>
    <t>720575940614708647.CNG.longfixed.swc</t>
  </si>
  <si>
    <t>720575940615790139.CNG.longfixed.swc</t>
  </si>
  <si>
    <t>720575940614022290.CNG.longfixed.swc</t>
  </si>
  <si>
    <t>720575940613713002.CNG.longfixed.swc</t>
  </si>
  <si>
    <t>720575940614621687.CNG.longfixed.swc</t>
  </si>
  <si>
    <t>720575940615415263.CNG.longfixed.swc</t>
  </si>
  <si>
    <t>720575940613756778.CNG.longfixed.swc</t>
  </si>
  <si>
    <t>720575940613740072.CNG.longfixed.swc</t>
  </si>
  <si>
    <t>720575940614651303.CNG.longfixed.swc</t>
  </si>
  <si>
    <t>720575940615434050.CNG.longfixed.swc</t>
  </si>
  <si>
    <t>720575940613721837.CNG.longfixed.swc</t>
  </si>
  <si>
    <t>720575940614431890.CNG.longfixed.swc</t>
  </si>
  <si>
    <t>720575940613734562.CNG.longfixed.swc</t>
  </si>
  <si>
    <t>720575940613872680.CNG.longfixed.swc</t>
  </si>
  <si>
    <t>720575940614689938.CNG.longfixed.swc</t>
  </si>
  <si>
    <t>720575940614255341.CNG.longfixed.swc</t>
  </si>
  <si>
    <t>720575940615666399.CNG.longfixed.swc</t>
  </si>
  <si>
    <t>720575940613738035.CNG.longfixed.swc</t>
  </si>
  <si>
    <t>720575940615447146.CNG.longfixed.swc</t>
  </si>
  <si>
    <t>720575940613732514.CNG.longfixed.swc</t>
  </si>
  <si>
    <t>720575940615054815.CNG.longfixed.swc</t>
  </si>
  <si>
    <t>720575940613789165.CNG.longfixed.swc</t>
  </si>
  <si>
    <t>720575940615111018.CNG.longfixed.swc</t>
  </si>
  <si>
    <t>720575940615803660.CNG.longfixed.swc</t>
  </si>
  <si>
    <t>720575940615060903.CNG.longfixed.swc</t>
  </si>
  <si>
    <t>720575940614051635.CNG.longfixed.swc</t>
  </si>
  <si>
    <t>720575940613757736.CNG.longfixed.swc</t>
  </si>
  <si>
    <t>720575940615398047.CNG.longfixed.swc</t>
  </si>
  <si>
    <t>720575940613789667.CNG.longfixed.swc</t>
  </si>
  <si>
    <t>720575940613733860.CNG.longfixed.swc</t>
  </si>
  <si>
    <t>720575940614257298.CNG.longfixed.swc</t>
  </si>
  <si>
    <t>720575940613752360.CNG.longfixed.swc</t>
  </si>
  <si>
    <t>720575940615790197.CNG.longfixed.swc</t>
  </si>
  <si>
    <t>720575940615645663.CNG.longfixed.swc</t>
  </si>
  <si>
    <t>720575940608884572.CNG.longfixed.swc</t>
  </si>
  <si>
    <t>720575940609235298.CNG.longfixed.swc</t>
  </si>
  <si>
    <t>720575940609193227.CNG.longfixed.swc</t>
  </si>
  <si>
    <t>720575940626923160.CNG.longfixed.swc</t>
  </si>
  <si>
    <t>720575940609515275.CNG.longfixed.swc</t>
  </si>
  <si>
    <t>720575940607862729.CNG.longfixed.swc</t>
  </si>
  <si>
    <t>720575940609137877.CNG.longfixed.swc</t>
  </si>
  <si>
    <t>720575940608323202.CNG.longfixed.swc</t>
  </si>
  <si>
    <t>720575940607683017.CNG.longfixed.swc</t>
  </si>
  <si>
    <t>720575940609184523.CNG.longfixed.swc</t>
  </si>
  <si>
    <t>720575940608043954.CNG.longfixed.swc</t>
  </si>
  <si>
    <t>720575940635529140.CNG.longfixed.swc</t>
  </si>
  <si>
    <t>720575940607894146.CNG.longfixed.swc</t>
  </si>
  <si>
    <t>720575940609718283.CNG.longfixed.swc</t>
  </si>
  <si>
    <t>720575940630309943.CNG.longfixed.swc</t>
  </si>
  <si>
    <t>720575940631897145.CNG.longfixed.swc</t>
  </si>
  <si>
    <t>720575940608837724.CNG.longfixed.swc</t>
  </si>
  <si>
    <t>720575940605919712.CNG.longfixed.swc</t>
  </si>
  <si>
    <t>720575940627760906.CNG.longfixed.swc</t>
  </si>
  <si>
    <t>720575940628996149.CNG.longfixed.swc</t>
  </si>
  <si>
    <t>720575940607687602.CNG.longfixed.swc</t>
  </si>
  <si>
    <t>720575940633079379.CNG.longfixed.swc</t>
  </si>
  <si>
    <t>720575940607693442.CNG.longfixed.swc</t>
  </si>
  <si>
    <t>720575940608746588.CNG.longfixed.swc</t>
  </si>
  <si>
    <t>720575940608965899.CNG.longfixed.swc</t>
  </si>
  <si>
    <t>720575940607589042.CNG.longfixed.swc</t>
  </si>
  <si>
    <t>720575940609777301.CNG.longfixed.swc</t>
  </si>
  <si>
    <t>720575940628825073.CNG.longfixed.swc</t>
  </si>
  <si>
    <t>720575940608992469.CNG.longfixed.swc</t>
  </si>
  <si>
    <t>720575940608603331.CNG.longfixed.swc</t>
  </si>
  <si>
    <t>720575940607396786.CNG.longfixed.swc</t>
  </si>
  <si>
    <t>720575940607670229.CNG.longfixed.swc</t>
  </si>
  <si>
    <t>720575940607641801.CNG.longfixed.swc</t>
  </si>
  <si>
    <t>720575940609453013.CNG.longfixed.swc</t>
  </si>
  <si>
    <t>720575940632133992.CNG.longfixed.swc</t>
  </si>
  <si>
    <t>720575940626863388.CNG.longfixed.swc</t>
  </si>
  <si>
    <t>720575940609036757.CNG.longfixed.swc</t>
  </si>
  <si>
    <t>720575940631623466.CNG.longfixed.swc</t>
  </si>
  <si>
    <t>720575940627149834.CNG.longfixed.swc</t>
  </si>
  <si>
    <t>720575940626926920.CNG.longfixed.swc</t>
  </si>
  <si>
    <t>720575940609247243.CNG.longfixed.swc</t>
  </si>
  <si>
    <t>720575940634198684.CNG.longfixed.swc</t>
  </si>
  <si>
    <t>720575940609309788.CNG.longfixed.swc</t>
  </si>
  <si>
    <t>720575940605643744.CNG.longfixed.swc</t>
  </si>
  <si>
    <t>720575940608160898.CNG.longfixed.swc</t>
  </si>
  <si>
    <t>720575940635189360.CNG.longfixed.swc</t>
  </si>
  <si>
    <t>720575940607758793.CNG.longfixed.swc</t>
  </si>
  <si>
    <t>720575940607780482.CNG.longfixed.swc</t>
  </si>
  <si>
    <t>720575940609411339.CNG.longfixed.swc</t>
  </si>
  <si>
    <t>720575940607451593.CNG.longfixed.swc</t>
  </si>
  <si>
    <t>720575940609466563.CNG.longfixed.swc</t>
  </si>
  <si>
    <t>720575940606657214.CNG.longfixed.swc</t>
  </si>
  <si>
    <t>720575940607987378.CNG.longfixed.swc</t>
  </si>
  <si>
    <t>720575940629614927.CNG.longfixed.swc</t>
  </si>
  <si>
    <t>720575940608214852.CNG.longfixed.swc</t>
  </si>
  <si>
    <t>720575940626761060.CNG.longfixed.swc</t>
  </si>
  <si>
    <t>720575940606752614.CNG.longfixed.swc</t>
  </si>
  <si>
    <t>720575940628441799.CNG.longfixed.swc</t>
  </si>
  <si>
    <t>720575940636861808.CNG.longfixed.swc</t>
  </si>
  <si>
    <t>720575940634262241.CNG.longfixed.swc</t>
  </si>
  <si>
    <t>720575940628530023.CNG.longfixed.swc</t>
  </si>
  <si>
    <t>720575940607681202.CNG.longfixed.swc</t>
  </si>
  <si>
    <t>720575940629481467.CNG.longfixed.swc</t>
  </si>
  <si>
    <t>720575940608915548.CNG.longfixed.swc</t>
  </si>
  <si>
    <t>720575940626924184.CNG.longfixed.swc</t>
  </si>
  <si>
    <t>720575940626846308.CNG.longfixed.swc</t>
  </si>
  <si>
    <t>720575940606477856.CNG.longfixed.swc</t>
  </si>
  <si>
    <t>720575940605876704.CNG.longfixed.swc</t>
  </si>
  <si>
    <t>720575940608168834.CNG.longfixed.swc</t>
  </si>
  <si>
    <t>720575940627694595.CNG.longfixed.swc</t>
  </si>
  <si>
    <t>720575940609334281.CNG.longfixed.swc</t>
  </si>
  <si>
    <t>720575940627657853.CNG.longfixed.swc</t>
  </si>
  <si>
    <t>720575940635142495.CNG.longfixed.swc</t>
  </si>
  <si>
    <t>720575940608027522.CNG.longfixed.swc</t>
  </si>
  <si>
    <t>720575940626761500.CNG.longfixed.swc</t>
  </si>
  <si>
    <t>720575940608211780.CNG.longfixed.swc</t>
  </si>
  <si>
    <t>720575940606792881.CNG.longfixed.swc</t>
  </si>
  <si>
    <t>720575940608342402.CNG.longfixed.swc</t>
  </si>
  <si>
    <t>720575940608810947.CNG.longfixed.swc</t>
  </si>
  <si>
    <t>720575940632096042.CNG.longfixed.swc</t>
  </si>
  <si>
    <t>720575940631807299.CNG.longfixed.swc</t>
  </si>
  <si>
    <t>720575940608125788.CNG.longfixed.swc</t>
  </si>
  <si>
    <t>720575940609182556.CNG.longfixed.swc</t>
  </si>
  <si>
    <t>720575940609117451.CNG.longfixed.swc</t>
  </si>
  <si>
    <t>720575940627619912.CNG.longfixed.swc</t>
  </si>
  <si>
    <t>720575940608964363.CNG.longfixed.swc</t>
  </si>
  <si>
    <t>720575940627987077.CNG.longfixed.swc</t>
  </si>
  <si>
    <t>720575940607424690.CNG.longfixed.swc</t>
  </si>
  <si>
    <t>720575940630675756.CNG.longfixed.swc</t>
  </si>
  <si>
    <t>720575940635907947.CNG.longfixed.swc</t>
  </si>
  <si>
    <t>720575940609192715.CNG.longfixed.swc</t>
  </si>
  <si>
    <t>720575940607594197.CNG.longfixed.swc</t>
  </si>
  <si>
    <t>720575940631394883.CNG.longfixed.swc</t>
  </si>
  <si>
    <t>720575940606637502.CNG.longfixed.swc</t>
  </si>
  <si>
    <t>720575940608247426.CNG.longfixed.swc</t>
  </si>
  <si>
    <t>720575940627704595.CNG.longfixed.swc</t>
  </si>
  <si>
    <t>720575940608991957.CNG.longfixed.swc</t>
  </si>
  <si>
    <t>720575940631559466.CNG.longfixed.swc</t>
  </si>
  <si>
    <t>720575940609679555.CNG.longfixed.swc</t>
  </si>
  <si>
    <t>720575940609352540.CNG.longfixed.swc</t>
  </si>
  <si>
    <t>720575940635653112.CNG.longfixed.swc</t>
  </si>
  <si>
    <t>720575940608996188.CNG.longfixed.swc</t>
  </si>
  <si>
    <t>720575940628905232.CNG.longfixed.swc</t>
  </si>
  <si>
    <t>720575940609372373.CNG.longfixed.swc</t>
  </si>
  <si>
    <t>720575940609354450.CNG.longfixed.swc</t>
  </si>
  <si>
    <t>720575940609513737.CNG.longfixed.swc</t>
  </si>
  <si>
    <t>720575940608617737.CNG.longfixed.swc</t>
  </si>
  <si>
    <t>720575940607583939.CNG.longfixed.swc</t>
  </si>
  <si>
    <t>720575940608278537.CNG.longfixed.swc</t>
  </si>
  <si>
    <t>720575940609202953.CNG.longfixed.swc</t>
  </si>
  <si>
    <t>720575940606760038.CNG.longfixed.swc</t>
  </si>
  <si>
    <t>720575940630405632.CNG.longfixed.swc</t>
  </si>
  <si>
    <t>720575940629524730.CNG.longfixed.swc</t>
  </si>
  <si>
    <t>720575940605834208.CNG.longfixed.swc</t>
  </si>
  <si>
    <t>720575940608810844.CNG.longfixed.swc</t>
  </si>
  <si>
    <t>Median</t>
  </si>
  <si>
    <t>IQ1</t>
  </si>
  <si>
    <t>IQ3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</si>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</sst>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1" xfId="0" applyFont="1" applyBorder="1"/>
    <xf numFmtId="2" fontId="2" fillId="0" borderId="2" xfId="0" applyNumberFormat="1" applyFont="1" applyBorder="1"/>
    <xf numFmtId="0" fontId="2" fillId="0" borderId="5" xfId="0" applyFont="1" applyBorder="1"/>
    <xf numFmtId="2" fontId="2" fillId="0" borderId="6" xfId="0" applyNumberFormat="1" applyFont="1" applyBorder="1"/>
    <xf numFmtId="0" fontId="0" fillId="0" borderId="3" xfId="0" applyFont="1" applyBorder="1"/>
    <xf numFmtId="2" fontId="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C8771B9C-8E85-4717-B6E3-8D6444D7ABDA}">
          <cx:dataId val="0"/>
          <cx:layoutPr>
            <cx:binning intervalClosed="r" underflow="0" overflow="3.5">
              <cx:binSize val="0.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348342</xdr:colOff>
      <xdr:row>6</xdr:row>
      <xdr:rowOff>43543</xdr:rowOff>
    </xdr:from>
    <xdr:to>
      <xdr:col>18</xdr:col>
      <xdr:colOff>43542</xdr:colOff>
      <xdr:row>21</xdr:row>
      <xdr:rowOff>10886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B1A5DE4-1CCF-F07D-2AA5-EE89E61B16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07485" y="115388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83B3-A58F-4B9C-91A8-1AC84D598B04}">
  <dimension ref="A1:J275"/>
  <sheetViews>
    <sheetView tabSelected="1" zoomScale="70" zoomScaleNormal="70" workbookViewId="0">
      <pane ySplit="1" topLeftCell="A2" activePane="bottomLeft" state="frozen"/>
      <selection pane="bottomLeft" activeCell="L271" sqref="L271"/>
    </sheetView>
  </sheetViews>
  <sheetFormatPr defaultRowHeight="14.4" x14ac:dyDescent="0.3"/>
  <cols>
    <col min="1" max="1" width="35.5546875" bestFit="1" customWidth="1"/>
    <col min="4" max="4" width="19" bestFit="1" customWidth="1"/>
    <col min="5" max="5" width="26.5546875" bestFit="1" customWidth="1"/>
    <col min="7" max="7" width="17.33203125" bestFit="1" customWidth="1"/>
    <col min="8" max="8" width="1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9" x14ac:dyDescent="0.3">
      <c r="A2" t="s">
        <v>7</v>
      </c>
      <c r="B2">
        <v>0.21529000000000001</v>
      </c>
      <c r="C2">
        <v>0.80374999999999996</v>
      </c>
      <c r="D2">
        <v>1</v>
      </c>
      <c r="E2">
        <v>1</v>
      </c>
      <c r="F2">
        <v>1</v>
      </c>
      <c r="G2">
        <v>877.22</v>
      </c>
      <c r="H2" t="s">
        <v>31</v>
      </c>
      <c r="I2" s="1">
        <f>IF(H2="milliseconds",G2/1000,G2)</f>
        <v>0.87722</v>
      </c>
    </row>
    <row r="3" spans="1:9" x14ac:dyDescent="0.3">
      <c r="A3" t="s">
        <v>8</v>
      </c>
      <c r="B3">
        <v>0.23086999999999999</v>
      </c>
      <c r="C3">
        <v>1.5879099999999999</v>
      </c>
      <c r="D3">
        <v>2</v>
      </c>
      <c r="E3">
        <v>2</v>
      </c>
      <c r="F3">
        <v>2</v>
      </c>
      <c r="G3">
        <v>630.42999999999995</v>
      </c>
      <c r="H3" t="s">
        <v>31</v>
      </c>
      <c r="I3" s="1">
        <f t="shared" ref="I3:I66" si="0">IF(H3="milliseconds",G3/1000,G3)</f>
        <v>0.63042999999999993</v>
      </c>
    </row>
    <row r="4" spans="1:9" x14ac:dyDescent="0.3">
      <c r="A4" t="s">
        <v>9</v>
      </c>
      <c r="B4">
        <v>0.21565000000000001</v>
      </c>
      <c r="C4">
        <v>0.89039000000000001</v>
      </c>
      <c r="D4">
        <v>1</v>
      </c>
      <c r="E4">
        <v>1</v>
      </c>
      <c r="F4">
        <v>0</v>
      </c>
      <c r="G4">
        <v>536.98</v>
      </c>
      <c r="H4" t="s">
        <v>31</v>
      </c>
      <c r="I4" s="1">
        <f t="shared" si="0"/>
        <v>0.53698000000000001</v>
      </c>
    </row>
    <row r="5" spans="1:9" x14ac:dyDescent="0.3">
      <c r="A5" t="s">
        <v>10</v>
      </c>
      <c r="B5">
        <v>0.28742000000000001</v>
      </c>
      <c r="C5">
        <v>1.24465</v>
      </c>
      <c r="D5">
        <v>17</v>
      </c>
      <c r="E5">
        <v>17</v>
      </c>
      <c r="F5">
        <v>1</v>
      </c>
      <c r="G5">
        <v>2.34</v>
      </c>
      <c r="H5" t="s">
        <v>32</v>
      </c>
      <c r="I5" s="1">
        <f t="shared" si="0"/>
        <v>2.34</v>
      </c>
    </row>
    <row r="6" spans="1:9" x14ac:dyDescent="0.3">
      <c r="A6" t="s">
        <v>11</v>
      </c>
      <c r="B6">
        <v>0.21986</v>
      </c>
      <c r="C6">
        <v>1.30314</v>
      </c>
      <c r="D6">
        <v>1</v>
      </c>
      <c r="E6">
        <v>1</v>
      </c>
      <c r="F6">
        <v>1</v>
      </c>
      <c r="G6">
        <v>661.51</v>
      </c>
      <c r="H6" t="s">
        <v>31</v>
      </c>
      <c r="I6" s="1">
        <f t="shared" si="0"/>
        <v>0.66151000000000004</v>
      </c>
    </row>
    <row r="7" spans="1:9" x14ac:dyDescent="0.3">
      <c r="A7" t="s">
        <v>12</v>
      </c>
      <c r="B7">
        <v>0.22442999999999999</v>
      </c>
      <c r="C7">
        <v>0.75175999999999998</v>
      </c>
      <c r="D7">
        <v>6</v>
      </c>
      <c r="E7">
        <v>6</v>
      </c>
      <c r="F7">
        <v>1</v>
      </c>
      <c r="G7">
        <v>4.8</v>
      </c>
      <c r="H7" t="s">
        <v>32</v>
      </c>
      <c r="I7" s="1">
        <f>IF(H7="milliseconds",G7/1000,G7)</f>
        <v>4.8</v>
      </c>
    </row>
    <row r="8" spans="1:9" x14ac:dyDescent="0.3">
      <c r="A8" t="s">
        <v>13</v>
      </c>
      <c r="B8">
        <v>0.58399999999999996</v>
      </c>
      <c r="C8">
        <v>8.4258600000000001</v>
      </c>
      <c r="D8">
        <v>10</v>
      </c>
      <c r="E8">
        <v>10</v>
      </c>
      <c r="F8">
        <v>0</v>
      </c>
      <c r="G8">
        <v>734.84</v>
      </c>
      <c r="H8" t="s">
        <v>31</v>
      </c>
      <c r="I8" s="1">
        <f t="shared" si="0"/>
        <v>0.73484000000000005</v>
      </c>
    </row>
    <row r="9" spans="1:9" x14ac:dyDescent="0.3">
      <c r="A9" t="s">
        <v>14</v>
      </c>
      <c r="B9">
        <v>0.49381999999999998</v>
      </c>
      <c r="C9">
        <v>1.34161</v>
      </c>
      <c r="D9">
        <v>14</v>
      </c>
      <c r="E9">
        <v>14</v>
      </c>
      <c r="F9">
        <v>6</v>
      </c>
      <c r="G9">
        <v>197.98</v>
      </c>
      <c r="H9" t="s">
        <v>31</v>
      </c>
      <c r="I9" s="1">
        <f t="shared" si="0"/>
        <v>0.19797999999999999</v>
      </c>
    </row>
    <row r="10" spans="1:9" x14ac:dyDescent="0.3">
      <c r="A10" t="s">
        <v>15</v>
      </c>
      <c r="B10">
        <v>0.23808000000000001</v>
      </c>
      <c r="C10">
        <v>0.34261999999999998</v>
      </c>
      <c r="D10">
        <v>50</v>
      </c>
      <c r="E10">
        <v>50</v>
      </c>
      <c r="F10">
        <v>3</v>
      </c>
      <c r="G10">
        <v>19.899999999999999</v>
      </c>
      <c r="H10" t="s">
        <v>32</v>
      </c>
      <c r="I10" s="1">
        <f>IF(H10="milliseconds",G10/1000,G10)</f>
        <v>19.899999999999999</v>
      </c>
    </row>
    <row r="11" spans="1:9" x14ac:dyDescent="0.3">
      <c r="A11" t="s">
        <v>16</v>
      </c>
      <c r="B11">
        <v>0.22114</v>
      </c>
      <c r="C11">
        <v>0.17907000000000001</v>
      </c>
      <c r="D11">
        <v>270</v>
      </c>
      <c r="E11">
        <v>270</v>
      </c>
      <c r="F11">
        <v>5</v>
      </c>
      <c r="G11">
        <v>419.01</v>
      </c>
      <c r="H11" t="s">
        <v>32</v>
      </c>
      <c r="I11">
        <f>IF(H11="milliseconds",G11/1000,G11)</f>
        <v>419.01</v>
      </c>
    </row>
    <row r="12" spans="1:9" x14ac:dyDescent="0.3">
      <c r="A12" t="s">
        <v>17</v>
      </c>
      <c r="B12">
        <v>0.31402000000000002</v>
      </c>
      <c r="C12">
        <v>2.6183200000000002</v>
      </c>
      <c r="D12">
        <v>7</v>
      </c>
      <c r="E12">
        <v>7</v>
      </c>
      <c r="F12">
        <v>1</v>
      </c>
      <c r="G12">
        <v>1.69</v>
      </c>
      <c r="H12" t="s">
        <v>32</v>
      </c>
      <c r="I12" s="1">
        <f t="shared" si="0"/>
        <v>1.69</v>
      </c>
    </row>
    <row r="13" spans="1:9" x14ac:dyDescent="0.3">
      <c r="A13" t="s">
        <v>18</v>
      </c>
      <c r="B13">
        <v>0.24088999999999999</v>
      </c>
      <c r="C13">
        <v>0.51015999999999995</v>
      </c>
      <c r="D13">
        <v>6</v>
      </c>
      <c r="E13">
        <v>6</v>
      </c>
      <c r="F13">
        <v>2</v>
      </c>
      <c r="G13">
        <v>5.25</v>
      </c>
      <c r="H13" t="s">
        <v>32</v>
      </c>
      <c r="I13" s="1">
        <f>IF(H13="milliseconds",G13/1000,G13)</f>
        <v>5.25</v>
      </c>
    </row>
    <row r="14" spans="1:9" x14ac:dyDescent="0.3">
      <c r="A14" t="s">
        <v>19</v>
      </c>
      <c r="B14">
        <v>0.21049000000000001</v>
      </c>
      <c r="C14">
        <v>0.68708999999999998</v>
      </c>
      <c r="D14">
        <v>1</v>
      </c>
      <c r="E14">
        <v>1</v>
      </c>
      <c r="F14">
        <v>1</v>
      </c>
      <c r="G14">
        <v>694.5</v>
      </c>
      <c r="H14" t="s">
        <v>31</v>
      </c>
      <c r="I14" s="1">
        <f t="shared" si="0"/>
        <v>0.69450000000000001</v>
      </c>
    </row>
    <row r="15" spans="1:9" x14ac:dyDescent="0.3">
      <c r="A15" t="s">
        <v>20</v>
      </c>
      <c r="B15">
        <v>0.20841000000000001</v>
      </c>
      <c r="C15">
        <v>0.42732999999999999</v>
      </c>
      <c r="D15">
        <v>1</v>
      </c>
      <c r="E15">
        <v>1</v>
      </c>
      <c r="F15">
        <v>0</v>
      </c>
      <c r="G15">
        <v>393.89</v>
      </c>
      <c r="H15" t="s">
        <v>31</v>
      </c>
      <c r="I15" s="1">
        <f t="shared" si="0"/>
        <v>0.39388999999999996</v>
      </c>
    </row>
    <row r="16" spans="1:9" x14ac:dyDescent="0.3">
      <c r="A16" t="s">
        <v>21</v>
      </c>
      <c r="B16">
        <v>0.21201</v>
      </c>
      <c r="C16">
        <v>0.47322999999999998</v>
      </c>
      <c r="D16">
        <v>2</v>
      </c>
      <c r="E16">
        <v>2</v>
      </c>
      <c r="F16">
        <v>1</v>
      </c>
      <c r="G16">
        <v>2.04</v>
      </c>
      <c r="H16" t="s">
        <v>32</v>
      </c>
      <c r="I16" s="1">
        <f t="shared" si="0"/>
        <v>2.04</v>
      </c>
    </row>
    <row r="17" spans="1:9" x14ac:dyDescent="0.3">
      <c r="A17" t="s">
        <v>22</v>
      </c>
      <c r="B17">
        <v>0.22875999999999999</v>
      </c>
      <c r="C17">
        <v>0.70450000000000002</v>
      </c>
      <c r="D17">
        <v>4</v>
      </c>
      <c r="E17">
        <v>4</v>
      </c>
      <c r="F17">
        <v>0</v>
      </c>
      <c r="G17">
        <v>4.09</v>
      </c>
      <c r="H17" t="s">
        <v>32</v>
      </c>
      <c r="I17" s="1">
        <f t="shared" si="0"/>
        <v>4.09</v>
      </c>
    </row>
    <row r="18" spans="1:9" x14ac:dyDescent="0.3">
      <c r="A18" t="s">
        <v>23</v>
      </c>
      <c r="B18">
        <v>0.2354</v>
      </c>
      <c r="C18">
        <v>0.81749000000000005</v>
      </c>
      <c r="D18">
        <v>3</v>
      </c>
      <c r="E18">
        <v>3</v>
      </c>
      <c r="F18">
        <v>0</v>
      </c>
      <c r="G18">
        <v>4.38</v>
      </c>
      <c r="H18" t="s">
        <v>32</v>
      </c>
      <c r="I18" s="1">
        <f t="shared" si="0"/>
        <v>4.38</v>
      </c>
    </row>
    <row r="19" spans="1:9" x14ac:dyDescent="0.3">
      <c r="A19" t="s">
        <v>24</v>
      </c>
      <c r="B19">
        <v>0.20654</v>
      </c>
      <c r="C19">
        <v>0.15315999999999999</v>
      </c>
      <c r="D19">
        <v>35</v>
      </c>
      <c r="E19">
        <v>35</v>
      </c>
      <c r="F19">
        <v>2</v>
      </c>
      <c r="G19">
        <v>1.18</v>
      </c>
      <c r="H19" t="s">
        <v>32</v>
      </c>
      <c r="I19" s="1">
        <f t="shared" si="0"/>
        <v>1.18</v>
      </c>
    </row>
    <row r="20" spans="1:9" x14ac:dyDescent="0.3">
      <c r="A20" t="s">
        <v>25</v>
      </c>
      <c r="B20">
        <v>0.28528999999999999</v>
      </c>
      <c r="C20">
        <v>3.2812299999999999</v>
      </c>
      <c r="D20">
        <v>22</v>
      </c>
      <c r="E20">
        <v>22</v>
      </c>
      <c r="F20">
        <v>0</v>
      </c>
      <c r="G20">
        <v>12.27</v>
      </c>
      <c r="H20" t="s">
        <v>32</v>
      </c>
      <c r="I20" s="1">
        <f>IF(H20="milliseconds",G20/1000,G20)</f>
        <v>12.27</v>
      </c>
    </row>
    <row r="21" spans="1:9" x14ac:dyDescent="0.3">
      <c r="A21" t="s">
        <v>26</v>
      </c>
      <c r="B21">
        <v>0.20094999999999999</v>
      </c>
      <c r="C21">
        <v>0.17513999999999999</v>
      </c>
      <c r="D21">
        <v>10</v>
      </c>
      <c r="E21">
        <v>10</v>
      </c>
      <c r="F21">
        <v>0</v>
      </c>
      <c r="G21">
        <v>1.92</v>
      </c>
      <c r="H21" t="s">
        <v>32</v>
      </c>
      <c r="I21" s="1">
        <f t="shared" si="0"/>
        <v>1.92</v>
      </c>
    </row>
    <row r="22" spans="1:9" x14ac:dyDescent="0.3">
      <c r="A22" t="s">
        <v>39</v>
      </c>
      <c r="B22">
        <v>0.21690000000000001</v>
      </c>
      <c r="C22">
        <v>0.13120000000000001</v>
      </c>
      <c r="D22">
        <v>95</v>
      </c>
      <c r="E22">
        <v>95</v>
      </c>
      <c r="F22">
        <v>9</v>
      </c>
      <c r="G22">
        <v>464.24</v>
      </c>
      <c r="H22" t="s">
        <v>31</v>
      </c>
      <c r="I22" s="1">
        <f t="shared" si="0"/>
        <v>0.46423999999999999</v>
      </c>
    </row>
    <row r="23" spans="1:9" x14ac:dyDescent="0.3">
      <c r="A23" t="s">
        <v>40</v>
      </c>
      <c r="B23">
        <v>0.21732000000000001</v>
      </c>
      <c r="C23">
        <v>0.15598999999999999</v>
      </c>
      <c r="D23">
        <v>38</v>
      </c>
      <c r="E23">
        <v>38</v>
      </c>
      <c r="F23">
        <v>3</v>
      </c>
      <c r="G23">
        <v>2.16</v>
      </c>
      <c r="H23" t="s">
        <v>32</v>
      </c>
      <c r="I23" s="1">
        <f t="shared" si="0"/>
        <v>2.16</v>
      </c>
    </row>
    <row r="24" spans="1:9" x14ac:dyDescent="0.3">
      <c r="A24" t="s">
        <v>41</v>
      </c>
      <c r="B24">
        <v>0.24443000000000001</v>
      </c>
      <c r="C24">
        <v>1.52702</v>
      </c>
      <c r="D24">
        <v>1</v>
      </c>
      <c r="E24">
        <v>1</v>
      </c>
      <c r="F24">
        <v>1</v>
      </c>
      <c r="G24">
        <v>260.14</v>
      </c>
      <c r="H24" t="s">
        <v>31</v>
      </c>
      <c r="I24" s="1">
        <f t="shared" si="0"/>
        <v>0.26013999999999998</v>
      </c>
    </row>
    <row r="25" spans="1:9" x14ac:dyDescent="0.3">
      <c r="A25" t="s">
        <v>42</v>
      </c>
      <c r="B25">
        <v>0.24307000000000001</v>
      </c>
      <c r="C25">
        <v>0.95191000000000003</v>
      </c>
      <c r="D25">
        <v>1</v>
      </c>
      <c r="E25">
        <v>1</v>
      </c>
      <c r="F25">
        <v>1</v>
      </c>
      <c r="G25">
        <v>315.55</v>
      </c>
      <c r="H25" t="s">
        <v>31</v>
      </c>
      <c r="I25" s="1">
        <f t="shared" si="0"/>
        <v>0.31555</v>
      </c>
    </row>
    <row r="26" spans="1:9" x14ac:dyDescent="0.3">
      <c r="A26" t="s">
        <v>43</v>
      </c>
      <c r="B26">
        <v>0.28898000000000001</v>
      </c>
      <c r="C26">
        <v>0.32040000000000002</v>
      </c>
      <c r="D26">
        <v>23</v>
      </c>
      <c r="E26">
        <v>23</v>
      </c>
      <c r="F26">
        <v>2</v>
      </c>
      <c r="G26">
        <v>691.14</v>
      </c>
      <c r="H26" t="s">
        <v>31</v>
      </c>
      <c r="I26" s="1">
        <f t="shared" si="0"/>
        <v>0.69113999999999998</v>
      </c>
    </row>
    <row r="27" spans="1:9" x14ac:dyDescent="0.3">
      <c r="A27" t="s">
        <v>44</v>
      </c>
      <c r="B27">
        <v>0.21686</v>
      </c>
      <c r="C27">
        <v>0.12060999999999999</v>
      </c>
      <c r="D27">
        <v>58</v>
      </c>
      <c r="E27">
        <v>58</v>
      </c>
      <c r="F27">
        <v>6</v>
      </c>
      <c r="G27">
        <v>257.27999999999997</v>
      </c>
      <c r="H27" t="s">
        <v>31</v>
      </c>
      <c r="I27" s="1">
        <f t="shared" si="0"/>
        <v>0.25727999999999995</v>
      </c>
    </row>
    <row r="28" spans="1:9" x14ac:dyDescent="0.3">
      <c r="A28" t="s">
        <v>45</v>
      </c>
      <c r="B28">
        <v>0.23486000000000001</v>
      </c>
      <c r="C28">
        <v>0.18079000000000001</v>
      </c>
      <c r="D28">
        <v>29</v>
      </c>
      <c r="E28">
        <v>29</v>
      </c>
      <c r="F28">
        <v>1</v>
      </c>
      <c r="G28">
        <v>1.22</v>
      </c>
      <c r="H28" t="s">
        <v>32</v>
      </c>
      <c r="I28" s="1">
        <f t="shared" si="0"/>
        <v>1.22</v>
      </c>
    </row>
    <row r="29" spans="1:9" x14ac:dyDescent="0.3">
      <c r="A29" t="s">
        <v>46</v>
      </c>
      <c r="B29">
        <v>0.22586999999999999</v>
      </c>
      <c r="C29">
        <v>0.26199</v>
      </c>
      <c r="D29">
        <v>11</v>
      </c>
      <c r="E29">
        <v>11</v>
      </c>
      <c r="F29">
        <v>1</v>
      </c>
      <c r="G29">
        <v>272.67</v>
      </c>
      <c r="H29" t="s">
        <v>31</v>
      </c>
      <c r="I29" s="1">
        <f t="shared" si="0"/>
        <v>0.27267000000000002</v>
      </c>
    </row>
    <row r="30" spans="1:9" x14ac:dyDescent="0.3">
      <c r="A30" t="s">
        <v>47</v>
      </c>
      <c r="B30">
        <v>0.21365999999999999</v>
      </c>
      <c r="C30">
        <v>0.12617</v>
      </c>
      <c r="D30">
        <v>60</v>
      </c>
      <c r="E30">
        <v>60</v>
      </c>
      <c r="F30">
        <v>3</v>
      </c>
      <c r="G30">
        <v>355.33</v>
      </c>
      <c r="H30" t="s">
        <v>31</v>
      </c>
      <c r="I30" s="1">
        <f t="shared" si="0"/>
        <v>0.35532999999999998</v>
      </c>
    </row>
    <row r="31" spans="1:9" x14ac:dyDescent="0.3">
      <c r="A31" t="s">
        <v>48</v>
      </c>
      <c r="B31">
        <v>0.20707999999999999</v>
      </c>
      <c r="C31">
        <v>0.11949</v>
      </c>
      <c r="D31">
        <v>37</v>
      </c>
      <c r="E31">
        <v>37</v>
      </c>
      <c r="F31">
        <v>2</v>
      </c>
      <c r="G31">
        <v>2.67</v>
      </c>
      <c r="H31" t="s">
        <v>32</v>
      </c>
      <c r="I31" s="1">
        <f t="shared" si="0"/>
        <v>2.67</v>
      </c>
    </row>
    <row r="32" spans="1:9" x14ac:dyDescent="0.3">
      <c r="A32" t="s">
        <v>49</v>
      </c>
      <c r="B32">
        <v>0.22675999999999999</v>
      </c>
      <c r="C32">
        <v>0.54027999999999998</v>
      </c>
      <c r="D32">
        <v>1</v>
      </c>
      <c r="E32">
        <v>1</v>
      </c>
      <c r="F32">
        <v>1</v>
      </c>
      <c r="G32">
        <v>318.13</v>
      </c>
      <c r="H32" t="s">
        <v>31</v>
      </c>
      <c r="I32" s="1">
        <f t="shared" si="0"/>
        <v>0.31812999999999997</v>
      </c>
    </row>
    <row r="33" spans="1:9" x14ac:dyDescent="0.3">
      <c r="A33" t="s">
        <v>50</v>
      </c>
      <c r="B33">
        <v>0.21679000000000001</v>
      </c>
      <c r="C33">
        <v>0.70186000000000004</v>
      </c>
      <c r="D33">
        <v>1</v>
      </c>
      <c r="E33">
        <v>1</v>
      </c>
      <c r="F33">
        <v>0</v>
      </c>
      <c r="G33">
        <v>613.85</v>
      </c>
      <c r="H33" t="s">
        <v>31</v>
      </c>
      <c r="I33" s="1">
        <f t="shared" si="0"/>
        <v>0.61385000000000001</v>
      </c>
    </row>
    <row r="34" spans="1:9" x14ac:dyDescent="0.3">
      <c r="A34" t="s">
        <v>51</v>
      </c>
      <c r="B34">
        <v>0.17893999999999999</v>
      </c>
      <c r="C34">
        <v>0.17644000000000001</v>
      </c>
      <c r="D34">
        <v>15</v>
      </c>
      <c r="E34">
        <v>15</v>
      </c>
      <c r="F34">
        <v>1</v>
      </c>
      <c r="G34">
        <v>226.75</v>
      </c>
      <c r="H34" t="s">
        <v>31</v>
      </c>
      <c r="I34" s="1">
        <f t="shared" si="0"/>
        <v>0.22675000000000001</v>
      </c>
    </row>
    <row r="35" spans="1:9" x14ac:dyDescent="0.3">
      <c r="A35" t="s">
        <v>52</v>
      </c>
      <c r="B35">
        <v>0.21970000000000001</v>
      </c>
      <c r="C35">
        <v>0.13150000000000001</v>
      </c>
      <c r="D35">
        <v>73</v>
      </c>
      <c r="E35">
        <v>73</v>
      </c>
      <c r="F35">
        <v>3</v>
      </c>
      <c r="G35">
        <v>762.9</v>
      </c>
      <c r="H35" t="s">
        <v>31</v>
      </c>
      <c r="I35" s="1">
        <f t="shared" si="0"/>
        <v>0.76290000000000002</v>
      </c>
    </row>
    <row r="36" spans="1:9" x14ac:dyDescent="0.3">
      <c r="A36" t="s">
        <v>53</v>
      </c>
      <c r="B36">
        <v>0.2099</v>
      </c>
      <c r="C36">
        <v>0.11823</v>
      </c>
      <c r="D36">
        <v>67</v>
      </c>
      <c r="E36">
        <v>67</v>
      </c>
      <c r="F36">
        <v>6</v>
      </c>
      <c r="G36">
        <v>849.38</v>
      </c>
      <c r="H36" t="s">
        <v>31</v>
      </c>
      <c r="I36" s="1">
        <f t="shared" si="0"/>
        <v>0.84938000000000002</v>
      </c>
    </row>
    <row r="37" spans="1:9" x14ac:dyDescent="0.3">
      <c r="A37" t="s">
        <v>54</v>
      </c>
      <c r="B37">
        <v>0.30251</v>
      </c>
      <c r="C37">
        <v>2.8264</v>
      </c>
      <c r="D37">
        <v>1</v>
      </c>
      <c r="E37">
        <v>1</v>
      </c>
      <c r="F37">
        <v>1</v>
      </c>
      <c r="G37">
        <v>213.1</v>
      </c>
      <c r="H37" t="s">
        <v>31</v>
      </c>
      <c r="I37" s="1">
        <f t="shared" si="0"/>
        <v>0.21309999999999998</v>
      </c>
    </row>
    <row r="38" spans="1:9" x14ac:dyDescent="0.3">
      <c r="A38" t="s">
        <v>55</v>
      </c>
      <c r="B38">
        <v>0.16286999999999999</v>
      </c>
      <c r="C38">
        <v>0.10292</v>
      </c>
      <c r="D38">
        <v>62</v>
      </c>
      <c r="E38">
        <v>62</v>
      </c>
      <c r="F38">
        <v>1</v>
      </c>
      <c r="G38">
        <v>815.55</v>
      </c>
      <c r="H38" t="s">
        <v>31</v>
      </c>
      <c r="I38" s="1">
        <f t="shared" si="0"/>
        <v>0.81555</v>
      </c>
    </row>
    <row r="39" spans="1:9" x14ac:dyDescent="0.3">
      <c r="A39" t="s">
        <v>56</v>
      </c>
      <c r="B39">
        <v>0.21212</v>
      </c>
      <c r="C39">
        <v>0.10632</v>
      </c>
      <c r="D39">
        <v>65</v>
      </c>
      <c r="E39">
        <v>65</v>
      </c>
      <c r="F39">
        <v>4</v>
      </c>
      <c r="G39">
        <v>317.60000000000002</v>
      </c>
      <c r="H39" t="s">
        <v>31</v>
      </c>
      <c r="I39" s="1">
        <f t="shared" si="0"/>
        <v>0.31760000000000005</v>
      </c>
    </row>
    <row r="40" spans="1:9" x14ac:dyDescent="0.3">
      <c r="A40" t="s">
        <v>57</v>
      </c>
      <c r="B40">
        <v>0.21443000000000001</v>
      </c>
      <c r="C40">
        <v>0.12731999999999999</v>
      </c>
      <c r="D40">
        <v>62</v>
      </c>
      <c r="E40">
        <v>62</v>
      </c>
      <c r="F40">
        <v>2</v>
      </c>
      <c r="G40">
        <v>305.60000000000002</v>
      </c>
      <c r="H40" t="s">
        <v>31</v>
      </c>
      <c r="I40" s="1">
        <f t="shared" si="0"/>
        <v>0.30560000000000004</v>
      </c>
    </row>
    <row r="41" spans="1:9" x14ac:dyDescent="0.3">
      <c r="A41" t="s">
        <v>58</v>
      </c>
      <c r="B41">
        <v>0.22835</v>
      </c>
      <c r="C41">
        <v>0.71455999999999997</v>
      </c>
      <c r="D41">
        <v>2</v>
      </c>
      <c r="E41">
        <v>2</v>
      </c>
      <c r="F41">
        <v>0</v>
      </c>
      <c r="G41">
        <v>381.08</v>
      </c>
      <c r="H41" t="s">
        <v>31</v>
      </c>
      <c r="I41" s="1">
        <f t="shared" si="0"/>
        <v>0.38107999999999997</v>
      </c>
    </row>
    <row r="42" spans="1:9" x14ac:dyDescent="0.3">
      <c r="A42" t="s">
        <v>59</v>
      </c>
      <c r="B42">
        <v>0.24940999999999999</v>
      </c>
      <c r="C42">
        <v>0.85694000000000004</v>
      </c>
      <c r="D42">
        <v>1</v>
      </c>
      <c r="E42">
        <v>1</v>
      </c>
      <c r="F42">
        <v>1</v>
      </c>
      <c r="G42">
        <v>316.7</v>
      </c>
      <c r="H42" t="s">
        <v>31</v>
      </c>
      <c r="I42" s="1">
        <f t="shared" si="0"/>
        <v>0.31669999999999998</v>
      </c>
    </row>
    <row r="43" spans="1:9" x14ac:dyDescent="0.3">
      <c r="A43" t="s">
        <v>60</v>
      </c>
      <c r="B43">
        <v>0.22276000000000001</v>
      </c>
      <c r="C43">
        <v>0.13774</v>
      </c>
      <c r="D43">
        <v>61</v>
      </c>
      <c r="E43">
        <v>61</v>
      </c>
      <c r="F43">
        <v>1</v>
      </c>
      <c r="G43">
        <v>529.35</v>
      </c>
      <c r="H43" t="s">
        <v>31</v>
      </c>
      <c r="I43" s="1">
        <f t="shared" si="0"/>
        <v>0.52934999999999999</v>
      </c>
    </row>
    <row r="44" spans="1:9" x14ac:dyDescent="0.3">
      <c r="A44" t="s">
        <v>61</v>
      </c>
      <c r="B44">
        <v>0.21512000000000001</v>
      </c>
      <c r="C44">
        <v>0.1744</v>
      </c>
      <c r="D44">
        <v>20</v>
      </c>
      <c r="E44">
        <v>20</v>
      </c>
      <c r="F44">
        <v>1</v>
      </c>
      <c r="G44">
        <v>756.68</v>
      </c>
      <c r="H44" t="s">
        <v>31</v>
      </c>
      <c r="I44" s="1">
        <f t="shared" si="0"/>
        <v>0.75667999999999991</v>
      </c>
    </row>
    <row r="45" spans="1:9" x14ac:dyDescent="0.3">
      <c r="A45" t="s">
        <v>62</v>
      </c>
      <c r="B45">
        <v>0.23616000000000001</v>
      </c>
      <c r="C45">
        <v>0.70347000000000004</v>
      </c>
      <c r="D45">
        <v>1</v>
      </c>
      <c r="E45">
        <v>1</v>
      </c>
      <c r="F45">
        <v>0</v>
      </c>
      <c r="G45">
        <v>212.3</v>
      </c>
      <c r="H45" t="s">
        <v>31</v>
      </c>
      <c r="I45" s="1">
        <f t="shared" si="0"/>
        <v>0.21230000000000002</v>
      </c>
    </row>
    <row r="46" spans="1:9" x14ac:dyDescent="0.3">
      <c r="A46" t="s">
        <v>63</v>
      </c>
      <c r="B46">
        <v>0.20760999999999999</v>
      </c>
      <c r="C46">
        <v>0.10943</v>
      </c>
      <c r="D46">
        <v>131</v>
      </c>
      <c r="E46">
        <v>131</v>
      </c>
      <c r="F46">
        <v>2</v>
      </c>
      <c r="G46">
        <v>608.33000000000004</v>
      </c>
      <c r="H46" t="s">
        <v>31</v>
      </c>
      <c r="I46" s="1">
        <f t="shared" si="0"/>
        <v>0.60833000000000004</v>
      </c>
    </row>
    <row r="47" spans="1:9" x14ac:dyDescent="0.3">
      <c r="A47" t="s">
        <v>64</v>
      </c>
      <c r="B47">
        <v>0.23871000000000001</v>
      </c>
      <c r="C47">
        <v>0.61772000000000005</v>
      </c>
      <c r="D47">
        <v>3</v>
      </c>
      <c r="E47">
        <v>3</v>
      </c>
      <c r="F47">
        <v>1</v>
      </c>
      <c r="G47">
        <v>902.2</v>
      </c>
      <c r="H47" t="s">
        <v>31</v>
      </c>
      <c r="I47" s="1">
        <f t="shared" si="0"/>
        <v>0.9022</v>
      </c>
    </row>
    <row r="48" spans="1:9" x14ac:dyDescent="0.3">
      <c r="A48" t="s">
        <v>65</v>
      </c>
      <c r="B48">
        <v>0.20910999999999999</v>
      </c>
      <c r="C48">
        <v>0.105</v>
      </c>
      <c r="D48">
        <v>47</v>
      </c>
      <c r="E48">
        <v>47</v>
      </c>
      <c r="F48">
        <v>0</v>
      </c>
      <c r="G48">
        <v>260.93</v>
      </c>
      <c r="H48" t="s">
        <v>31</v>
      </c>
      <c r="I48" s="1">
        <f t="shared" si="0"/>
        <v>0.26093</v>
      </c>
    </row>
    <row r="49" spans="1:9" x14ac:dyDescent="0.3">
      <c r="A49" t="s">
        <v>66</v>
      </c>
      <c r="B49">
        <v>0.21682999999999999</v>
      </c>
      <c r="C49">
        <v>0.11444</v>
      </c>
      <c r="D49">
        <v>77</v>
      </c>
      <c r="E49">
        <v>77</v>
      </c>
      <c r="F49">
        <v>4</v>
      </c>
      <c r="G49">
        <v>300.39</v>
      </c>
      <c r="H49" t="s">
        <v>31</v>
      </c>
      <c r="I49" s="1">
        <f t="shared" si="0"/>
        <v>0.30038999999999999</v>
      </c>
    </row>
    <row r="50" spans="1:9" x14ac:dyDescent="0.3">
      <c r="A50" t="s">
        <v>67</v>
      </c>
      <c r="B50">
        <v>0.23782</v>
      </c>
      <c r="C50">
        <v>0.62927</v>
      </c>
      <c r="D50">
        <v>1</v>
      </c>
      <c r="E50">
        <v>1</v>
      </c>
      <c r="F50">
        <v>1</v>
      </c>
      <c r="G50">
        <v>304.39999999999998</v>
      </c>
      <c r="H50" t="s">
        <v>31</v>
      </c>
      <c r="I50" s="1">
        <f t="shared" si="0"/>
        <v>0.3044</v>
      </c>
    </row>
    <row r="51" spans="1:9" x14ac:dyDescent="0.3">
      <c r="A51" t="s">
        <v>68</v>
      </c>
      <c r="B51">
        <v>0.22886000000000001</v>
      </c>
      <c r="C51">
        <v>0.66935</v>
      </c>
      <c r="D51">
        <v>1</v>
      </c>
      <c r="E51">
        <v>1</v>
      </c>
      <c r="F51">
        <v>1</v>
      </c>
      <c r="G51">
        <v>238.27</v>
      </c>
      <c r="H51" t="s">
        <v>31</v>
      </c>
      <c r="I51" s="1">
        <f t="shared" si="0"/>
        <v>0.23827000000000001</v>
      </c>
    </row>
    <row r="52" spans="1:9" x14ac:dyDescent="0.3">
      <c r="A52" t="s">
        <v>69</v>
      </c>
      <c r="B52">
        <v>0.2288</v>
      </c>
      <c r="C52">
        <v>0.56925000000000003</v>
      </c>
      <c r="D52">
        <v>1</v>
      </c>
      <c r="E52">
        <v>1</v>
      </c>
      <c r="F52">
        <v>1</v>
      </c>
      <c r="G52">
        <v>350.63</v>
      </c>
      <c r="H52" t="s">
        <v>31</v>
      </c>
      <c r="I52" s="1">
        <f t="shared" si="0"/>
        <v>0.35063</v>
      </c>
    </row>
    <row r="53" spans="1:9" x14ac:dyDescent="0.3">
      <c r="A53" t="s">
        <v>70</v>
      </c>
      <c r="B53">
        <v>0.22577</v>
      </c>
      <c r="C53">
        <v>0.31590000000000001</v>
      </c>
      <c r="D53">
        <v>10</v>
      </c>
      <c r="E53">
        <v>10</v>
      </c>
      <c r="F53">
        <v>2</v>
      </c>
      <c r="G53">
        <v>5.0599999999999996</v>
      </c>
      <c r="H53" t="s">
        <v>32</v>
      </c>
      <c r="I53" s="1">
        <f t="shared" si="0"/>
        <v>5.0599999999999996</v>
      </c>
    </row>
    <row r="54" spans="1:9" x14ac:dyDescent="0.3">
      <c r="A54" t="s">
        <v>71</v>
      </c>
      <c r="B54">
        <v>0.20926</v>
      </c>
      <c r="C54">
        <v>0.10517</v>
      </c>
      <c r="D54">
        <v>127</v>
      </c>
      <c r="E54">
        <v>127</v>
      </c>
      <c r="F54">
        <v>3</v>
      </c>
      <c r="G54">
        <v>1.65</v>
      </c>
      <c r="H54" t="s">
        <v>32</v>
      </c>
      <c r="I54" s="1">
        <f t="shared" si="0"/>
        <v>1.65</v>
      </c>
    </row>
    <row r="55" spans="1:9" x14ac:dyDescent="0.3">
      <c r="A55" t="s">
        <v>72</v>
      </c>
      <c r="B55">
        <v>0.22206000000000001</v>
      </c>
      <c r="C55">
        <v>0.14310999999999999</v>
      </c>
      <c r="D55">
        <v>209</v>
      </c>
      <c r="E55">
        <v>209</v>
      </c>
      <c r="F55">
        <v>15</v>
      </c>
      <c r="G55">
        <v>3.91</v>
      </c>
      <c r="H55" t="s">
        <v>32</v>
      </c>
      <c r="I55" s="1">
        <f t="shared" si="0"/>
        <v>3.91</v>
      </c>
    </row>
    <row r="56" spans="1:9" x14ac:dyDescent="0.3">
      <c r="A56" t="s">
        <v>73</v>
      </c>
      <c r="B56">
        <v>0.24745</v>
      </c>
      <c r="C56">
        <v>1.42509</v>
      </c>
      <c r="D56">
        <v>1</v>
      </c>
      <c r="E56">
        <v>1</v>
      </c>
      <c r="F56">
        <v>1</v>
      </c>
      <c r="G56">
        <v>285.99</v>
      </c>
      <c r="H56" t="s">
        <v>31</v>
      </c>
      <c r="I56" s="1">
        <f t="shared" si="0"/>
        <v>0.28599000000000002</v>
      </c>
    </row>
    <row r="57" spans="1:9" x14ac:dyDescent="0.3">
      <c r="A57" t="s">
        <v>74</v>
      </c>
      <c r="B57">
        <v>0.25135000000000002</v>
      </c>
      <c r="C57">
        <v>1.43672</v>
      </c>
      <c r="D57">
        <v>1</v>
      </c>
      <c r="E57">
        <v>1</v>
      </c>
      <c r="F57">
        <v>1</v>
      </c>
      <c r="G57">
        <v>206.1</v>
      </c>
      <c r="H57" t="s">
        <v>31</v>
      </c>
      <c r="I57" s="1">
        <f t="shared" si="0"/>
        <v>0.20610000000000001</v>
      </c>
    </row>
    <row r="58" spans="1:9" x14ac:dyDescent="0.3">
      <c r="A58" t="s">
        <v>75</v>
      </c>
      <c r="B58">
        <v>0.21534</v>
      </c>
      <c r="C58">
        <v>0.11881</v>
      </c>
      <c r="D58">
        <v>60</v>
      </c>
      <c r="E58">
        <v>60</v>
      </c>
      <c r="F58">
        <v>5</v>
      </c>
      <c r="G58">
        <v>231.76</v>
      </c>
      <c r="H58" t="s">
        <v>31</v>
      </c>
      <c r="I58" s="1">
        <f t="shared" si="0"/>
        <v>0.23175999999999999</v>
      </c>
    </row>
    <row r="59" spans="1:9" x14ac:dyDescent="0.3">
      <c r="A59" t="s">
        <v>76</v>
      </c>
      <c r="B59">
        <v>0.21739</v>
      </c>
      <c r="C59">
        <v>0.12570000000000001</v>
      </c>
      <c r="D59">
        <v>86</v>
      </c>
      <c r="E59">
        <v>86</v>
      </c>
      <c r="F59">
        <v>3</v>
      </c>
      <c r="G59">
        <v>1.08</v>
      </c>
      <c r="H59" t="s">
        <v>32</v>
      </c>
      <c r="I59" s="1">
        <f t="shared" si="0"/>
        <v>1.08</v>
      </c>
    </row>
    <row r="60" spans="1:9" x14ac:dyDescent="0.3">
      <c r="A60" t="s">
        <v>77</v>
      </c>
      <c r="B60">
        <v>0.22098999999999999</v>
      </c>
      <c r="C60">
        <v>0.14102999999999999</v>
      </c>
      <c r="D60">
        <v>55</v>
      </c>
      <c r="E60">
        <v>55</v>
      </c>
      <c r="F60">
        <v>0</v>
      </c>
      <c r="G60">
        <v>450.72</v>
      </c>
      <c r="H60" t="s">
        <v>31</v>
      </c>
      <c r="I60" s="1">
        <f t="shared" si="0"/>
        <v>0.45072000000000001</v>
      </c>
    </row>
    <row r="61" spans="1:9" x14ac:dyDescent="0.3">
      <c r="A61" t="s">
        <v>78</v>
      </c>
      <c r="B61">
        <v>0.23286999999999999</v>
      </c>
      <c r="C61">
        <v>0.45501000000000003</v>
      </c>
      <c r="D61">
        <v>3</v>
      </c>
      <c r="E61">
        <v>3</v>
      </c>
      <c r="F61">
        <v>1</v>
      </c>
      <c r="G61">
        <v>334.19</v>
      </c>
      <c r="H61" t="s">
        <v>31</v>
      </c>
      <c r="I61" s="1">
        <f t="shared" si="0"/>
        <v>0.33418999999999999</v>
      </c>
    </row>
    <row r="62" spans="1:9" x14ac:dyDescent="0.3">
      <c r="A62" t="s">
        <v>79</v>
      </c>
      <c r="B62">
        <v>0.20627999999999999</v>
      </c>
      <c r="C62">
        <v>9.9309999999999996E-2</v>
      </c>
      <c r="D62">
        <v>67</v>
      </c>
      <c r="E62">
        <v>67</v>
      </c>
      <c r="F62">
        <v>2</v>
      </c>
      <c r="G62">
        <v>1.03</v>
      </c>
      <c r="H62" t="s">
        <v>32</v>
      </c>
      <c r="I62" s="1">
        <f t="shared" si="0"/>
        <v>1.03</v>
      </c>
    </row>
    <row r="63" spans="1:9" x14ac:dyDescent="0.3">
      <c r="A63" t="s">
        <v>80</v>
      </c>
      <c r="B63">
        <v>0.24709</v>
      </c>
      <c r="C63">
        <v>1.6374500000000001</v>
      </c>
      <c r="D63">
        <v>1</v>
      </c>
      <c r="E63">
        <v>1</v>
      </c>
      <c r="F63">
        <v>0</v>
      </c>
      <c r="G63">
        <v>273.82</v>
      </c>
      <c r="H63" t="s">
        <v>31</v>
      </c>
      <c r="I63" s="1">
        <f t="shared" si="0"/>
        <v>0.27382000000000001</v>
      </c>
    </row>
    <row r="64" spans="1:9" x14ac:dyDescent="0.3">
      <c r="A64" t="s">
        <v>81</v>
      </c>
      <c r="B64">
        <v>0.23280000000000001</v>
      </c>
      <c r="C64">
        <v>0.65298</v>
      </c>
      <c r="D64">
        <v>1</v>
      </c>
      <c r="E64">
        <v>1</v>
      </c>
      <c r="F64">
        <v>1</v>
      </c>
      <c r="G64">
        <v>298.68</v>
      </c>
      <c r="H64" t="s">
        <v>31</v>
      </c>
      <c r="I64" s="1">
        <f t="shared" si="0"/>
        <v>0.29868</v>
      </c>
    </row>
    <row r="65" spans="1:9" x14ac:dyDescent="0.3">
      <c r="A65" t="s">
        <v>82</v>
      </c>
      <c r="B65">
        <v>0.22341</v>
      </c>
      <c r="C65">
        <v>0.13883000000000001</v>
      </c>
      <c r="D65">
        <v>83</v>
      </c>
      <c r="E65">
        <v>83</v>
      </c>
      <c r="F65">
        <v>6</v>
      </c>
      <c r="G65">
        <v>771.96</v>
      </c>
      <c r="H65" t="s">
        <v>31</v>
      </c>
      <c r="I65" s="1">
        <f t="shared" si="0"/>
        <v>0.77196000000000009</v>
      </c>
    </row>
    <row r="66" spans="1:9" x14ac:dyDescent="0.3">
      <c r="A66" t="s">
        <v>83</v>
      </c>
      <c r="B66">
        <v>0.25197000000000003</v>
      </c>
      <c r="C66">
        <v>0.61331999999999998</v>
      </c>
      <c r="D66">
        <v>1</v>
      </c>
      <c r="E66">
        <v>1</v>
      </c>
      <c r="F66">
        <v>1</v>
      </c>
      <c r="G66">
        <v>307.76</v>
      </c>
      <c r="H66" t="s">
        <v>31</v>
      </c>
      <c r="I66" s="1">
        <f t="shared" si="0"/>
        <v>0.30775999999999998</v>
      </c>
    </row>
    <row r="67" spans="1:9" x14ac:dyDescent="0.3">
      <c r="A67" t="s">
        <v>84</v>
      </c>
      <c r="B67">
        <v>0.2455</v>
      </c>
      <c r="C67">
        <v>1.41381</v>
      </c>
      <c r="D67">
        <v>1</v>
      </c>
      <c r="E67">
        <v>1</v>
      </c>
      <c r="F67">
        <v>1</v>
      </c>
      <c r="G67">
        <v>271.04000000000002</v>
      </c>
      <c r="H67" t="s">
        <v>31</v>
      </c>
      <c r="I67" s="1">
        <f t="shared" ref="I67:I130" si="1">IF(H67="milliseconds",G67/1000,G67)</f>
        <v>0.27104</v>
      </c>
    </row>
    <row r="68" spans="1:9" x14ac:dyDescent="0.3">
      <c r="A68" t="s">
        <v>85</v>
      </c>
      <c r="B68">
        <v>0.21406</v>
      </c>
      <c r="C68">
        <v>0.11548</v>
      </c>
      <c r="D68">
        <v>67</v>
      </c>
      <c r="E68">
        <v>67</v>
      </c>
      <c r="F68">
        <v>4</v>
      </c>
      <c r="G68">
        <v>620.03</v>
      </c>
      <c r="H68" t="s">
        <v>31</v>
      </c>
      <c r="I68" s="1">
        <f t="shared" si="1"/>
        <v>0.62002999999999997</v>
      </c>
    </row>
    <row r="69" spans="1:9" x14ac:dyDescent="0.3">
      <c r="A69" t="s">
        <v>86</v>
      </c>
      <c r="B69">
        <v>0.23876</v>
      </c>
      <c r="C69">
        <v>0.35918</v>
      </c>
      <c r="D69">
        <v>6</v>
      </c>
      <c r="E69">
        <v>6</v>
      </c>
      <c r="F69">
        <v>1</v>
      </c>
      <c r="G69">
        <v>344.19</v>
      </c>
      <c r="H69" t="s">
        <v>31</v>
      </c>
      <c r="I69" s="1">
        <f t="shared" si="1"/>
        <v>0.34419</v>
      </c>
    </row>
    <row r="70" spans="1:9" x14ac:dyDescent="0.3">
      <c r="A70" t="s">
        <v>87</v>
      </c>
      <c r="B70">
        <v>0.21739</v>
      </c>
      <c r="C70">
        <v>0.12717000000000001</v>
      </c>
      <c r="D70">
        <v>75</v>
      </c>
      <c r="E70">
        <v>75</v>
      </c>
      <c r="F70">
        <v>7</v>
      </c>
      <c r="G70">
        <v>352.28</v>
      </c>
      <c r="H70" t="s">
        <v>31</v>
      </c>
      <c r="I70" s="1">
        <f t="shared" si="1"/>
        <v>0.35227999999999998</v>
      </c>
    </row>
    <row r="71" spans="1:9" x14ac:dyDescent="0.3">
      <c r="A71" t="s">
        <v>88</v>
      </c>
      <c r="B71">
        <v>0.25512000000000001</v>
      </c>
      <c r="C71">
        <v>1.5173099999999999</v>
      </c>
      <c r="D71">
        <v>1</v>
      </c>
      <c r="E71">
        <v>1</v>
      </c>
      <c r="F71">
        <v>0</v>
      </c>
      <c r="G71">
        <v>258.70999999999998</v>
      </c>
      <c r="H71" t="s">
        <v>31</v>
      </c>
      <c r="I71" s="1">
        <f t="shared" si="1"/>
        <v>0.25871</v>
      </c>
    </row>
    <row r="72" spans="1:9" x14ac:dyDescent="0.3">
      <c r="A72" t="s">
        <v>89</v>
      </c>
      <c r="B72">
        <v>0.23316999999999999</v>
      </c>
      <c r="C72">
        <v>1.3291500000000001</v>
      </c>
      <c r="D72">
        <v>1</v>
      </c>
      <c r="E72">
        <v>1</v>
      </c>
      <c r="F72">
        <v>0</v>
      </c>
      <c r="G72">
        <v>363.96</v>
      </c>
      <c r="H72" t="s">
        <v>31</v>
      </c>
      <c r="I72" s="1">
        <f t="shared" si="1"/>
        <v>0.36396000000000001</v>
      </c>
    </row>
    <row r="73" spans="1:9" x14ac:dyDescent="0.3">
      <c r="A73" t="s">
        <v>90</v>
      </c>
      <c r="B73">
        <v>0.23827999999999999</v>
      </c>
      <c r="C73">
        <v>0.51205000000000001</v>
      </c>
      <c r="D73">
        <v>2</v>
      </c>
      <c r="E73">
        <v>2</v>
      </c>
      <c r="F73">
        <v>1</v>
      </c>
      <c r="G73">
        <v>328.97</v>
      </c>
      <c r="H73" t="s">
        <v>31</v>
      </c>
      <c r="I73" s="1">
        <f t="shared" si="1"/>
        <v>0.32897000000000004</v>
      </c>
    </row>
    <row r="74" spans="1:9" x14ac:dyDescent="0.3">
      <c r="A74" t="s">
        <v>91</v>
      </c>
      <c r="B74">
        <v>0.21260999999999999</v>
      </c>
      <c r="C74">
        <v>0.10443</v>
      </c>
      <c r="D74">
        <v>81</v>
      </c>
      <c r="E74">
        <v>81</v>
      </c>
      <c r="F74">
        <v>4</v>
      </c>
      <c r="G74">
        <v>290.24</v>
      </c>
      <c r="H74" t="s">
        <v>31</v>
      </c>
      <c r="I74" s="1">
        <f t="shared" si="1"/>
        <v>0.29024</v>
      </c>
    </row>
    <row r="75" spans="1:9" x14ac:dyDescent="0.3">
      <c r="A75" t="s">
        <v>92</v>
      </c>
      <c r="B75">
        <v>0.35672999999999999</v>
      </c>
      <c r="C75">
        <v>2.9022600000000001</v>
      </c>
      <c r="D75">
        <v>12</v>
      </c>
      <c r="E75">
        <v>12</v>
      </c>
      <c r="F75">
        <v>1</v>
      </c>
      <c r="G75">
        <v>1.54</v>
      </c>
      <c r="H75" t="s">
        <v>32</v>
      </c>
      <c r="I75" s="1">
        <f t="shared" si="1"/>
        <v>1.54</v>
      </c>
    </row>
    <row r="76" spans="1:9" x14ac:dyDescent="0.3">
      <c r="A76" t="s">
        <v>93</v>
      </c>
      <c r="B76">
        <v>0.21637999999999999</v>
      </c>
      <c r="C76">
        <v>0.12545999999999999</v>
      </c>
      <c r="D76">
        <v>127</v>
      </c>
      <c r="E76">
        <v>127</v>
      </c>
      <c r="F76">
        <v>3</v>
      </c>
      <c r="G76">
        <v>1.78</v>
      </c>
      <c r="H76" t="s">
        <v>32</v>
      </c>
      <c r="I76" s="1">
        <f t="shared" si="1"/>
        <v>1.78</v>
      </c>
    </row>
    <row r="77" spans="1:9" x14ac:dyDescent="0.3">
      <c r="A77" t="s">
        <v>94</v>
      </c>
      <c r="B77">
        <v>0.24895999999999999</v>
      </c>
      <c r="C77">
        <v>1.09328</v>
      </c>
      <c r="D77">
        <v>1</v>
      </c>
      <c r="E77">
        <v>1</v>
      </c>
      <c r="F77">
        <v>1</v>
      </c>
      <c r="G77">
        <v>227.27</v>
      </c>
      <c r="H77" t="s">
        <v>31</v>
      </c>
      <c r="I77" s="1">
        <f t="shared" si="1"/>
        <v>0.22727</v>
      </c>
    </row>
    <row r="78" spans="1:9" x14ac:dyDescent="0.3">
      <c r="A78" t="s">
        <v>95</v>
      </c>
      <c r="B78">
        <v>0.21919</v>
      </c>
      <c r="C78">
        <v>0.13489000000000001</v>
      </c>
      <c r="D78">
        <v>125</v>
      </c>
      <c r="E78">
        <v>125</v>
      </c>
      <c r="F78">
        <v>6</v>
      </c>
      <c r="G78">
        <v>1.58</v>
      </c>
      <c r="H78" t="s">
        <v>32</v>
      </c>
      <c r="I78" s="1">
        <f t="shared" si="1"/>
        <v>1.58</v>
      </c>
    </row>
    <row r="79" spans="1:9" x14ac:dyDescent="0.3">
      <c r="A79" t="s">
        <v>96</v>
      </c>
      <c r="B79">
        <v>0.22420000000000001</v>
      </c>
      <c r="C79">
        <v>1.12368</v>
      </c>
      <c r="D79">
        <v>1</v>
      </c>
      <c r="E79">
        <v>1</v>
      </c>
      <c r="F79">
        <v>0</v>
      </c>
      <c r="G79">
        <v>510.33</v>
      </c>
      <c r="H79" t="s">
        <v>31</v>
      </c>
      <c r="I79" s="1">
        <f t="shared" si="1"/>
        <v>0.51032999999999995</v>
      </c>
    </row>
    <row r="80" spans="1:9" x14ac:dyDescent="0.3">
      <c r="A80" t="s">
        <v>97</v>
      </c>
      <c r="B80">
        <v>0.23552999999999999</v>
      </c>
      <c r="C80">
        <v>0.19575999999999999</v>
      </c>
      <c r="D80">
        <v>43</v>
      </c>
      <c r="E80">
        <v>43</v>
      </c>
      <c r="F80">
        <v>3</v>
      </c>
      <c r="G80">
        <v>1.38</v>
      </c>
      <c r="H80" t="s">
        <v>32</v>
      </c>
      <c r="I80" s="1">
        <f t="shared" si="1"/>
        <v>1.38</v>
      </c>
    </row>
    <row r="81" spans="1:9" x14ac:dyDescent="0.3">
      <c r="A81" t="s">
        <v>98</v>
      </c>
      <c r="B81">
        <v>0.26761000000000001</v>
      </c>
      <c r="C81">
        <v>1.84999</v>
      </c>
      <c r="D81">
        <v>1</v>
      </c>
      <c r="E81">
        <v>1</v>
      </c>
      <c r="F81">
        <v>0</v>
      </c>
      <c r="G81">
        <v>230.02</v>
      </c>
      <c r="H81" t="s">
        <v>31</v>
      </c>
      <c r="I81" s="1">
        <f t="shared" si="1"/>
        <v>0.23002</v>
      </c>
    </row>
    <row r="82" spans="1:9" x14ac:dyDescent="0.3">
      <c r="A82" t="s">
        <v>99</v>
      </c>
      <c r="B82">
        <v>0.22084999999999999</v>
      </c>
      <c r="C82">
        <v>0.13175000000000001</v>
      </c>
      <c r="D82">
        <v>129</v>
      </c>
      <c r="E82">
        <v>129</v>
      </c>
      <c r="F82">
        <v>8</v>
      </c>
      <c r="G82">
        <v>1.81</v>
      </c>
      <c r="H82" t="s">
        <v>32</v>
      </c>
      <c r="I82" s="1">
        <f t="shared" si="1"/>
        <v>1.81</v>
      </c>
    </row>
    <row r="83" spans="1:9" x14ac:dyDescent="0.3">
      <c r="A83" t="s">
        <v>100</v>
      </c>
      <c r="B83">
        <v>0.22031000000000001</v>
      </c>
      <c r="C83">
        <v>0.15010999999999999</v>
      </c>
      <c r="D83">
        <v>31</v>
      </c>
      <c r="E83">
        <v>31</v>
      </c>
      <c r="F83">
        <v>0</v>
      </c>
      <c r="G83">
        <v>2.31</v>
      </c>
      <c r="H83" t="s">
        <v>32</v>
      </c>
      <c r="I83" s="1">
        <f t="shared" si="1"/>
        <v>2.31</v>
      </c>
    </row>
    <row r="84" spans="1:9" x14ac:dyDescent="0.3">
      <c r="A84" t="s">
        <v>101</v>
      </c>
      <c r="B84">
        <v>0.22073999999999999</v>
      </c>
      <c r="C84">
        <v>0.16847000000000001</v>
      </c>
      <c r="D84">
        <v>31</v>
      </c>
      <c r="E84">
        <v>31</v>
      </c>
      <c r="F84">
        <v>2</v>
      </c>
      <c r="G84">
        <v>262.17</v>
      </c>
      <c r="H84" t="s">
        <v>31</v>
      </c>
      <c r="I84" s="1">
        <f t="shared" si="1"/>
        <v>0.26217000000000001</v>
      </c>
    </row>
    <row r="85" spans="1:9" x14ac:dyDescent="0.3">
      <c r="A85" t="s">
        <v>102</v>
      </c>
      <c r="B85">
        <v>0.21743999999999999</v>
      </c>
      <c r="C85">
        <v>0.11973</v>
      </c>
      <c r="D85">
        <v>48</v>
      </c>
      <c r="E85">
        <v>48</v>
      </c>
      <c r="F85">
        <v>5</v>
      </c>
      <c r="G85">
        <v>584.45000000000005</v>
      </c>
      <c r="H85" t="s">
        <v>31</v>
      </c>
      <c r="I85" s="1">
        <f t="shared" si="1"/>
        <v>0.58445000000000003</v>
      </c>
    </row>
    <row r="86" spans="1:9" x14ac:dyDescent="0.3">
      <c r="A86" t="s">
        <v>103</v>
      </c>
      <c r="B86">
        <v>0.21468999999999999</v>
      </c>
      <c r="C86">
        <v>0.87139999999999995</v>
      </c>
      <c r="D86">
        <v>1</v>
      </c>
      <c r="E86">
        <v>1</v>
      </c>
      <c r="F86">
        <v>1</v>
      </c>
      <c r="G86">
        <v>1.01</v>
      </c>
      <c r="H86" t="s">
        <v>32</v>
      </c>
      <c r="I86" s="1">
        <f t="shared" si="1"/>
        <v>1.01</v>
      </c>
    </row>
    <row r="87" spans="1:9" x14ac:dyDescent="0.3">
      <c r="A87" t="s">
        <v>104</v>
      </c>
      <c r="B87">
        <v>0.20477000000000001</v>
      </c>
      <c r="C87">
        <v>0.10051</v>
      </c>
      <c r="D87">
        <v>91</v>
      </c>
      <c r="E87">
        <v>91</v>
      </c>
      <c r="F87">
        <v>5</v>
      </c>
      <c r="G87">
        <v>361.62</v>
      </c>
      <c r="H87" t="s">
        <v>31</v>
      </c>
      <c r="I87" s="1">
        <f t="shared" si="1"/>
        <v>0.36162</v>
      </c>
    </row>
    <row r="88" spans="1:9" x14ac:dyDescent="0.3">
      <c r="A88" t="s">
        <v>105</v>
      </c>
      <c r="B88">
        <v>0.22769</v>
      </c>
      <c r="C88">
        <v>0.50541999999999998</v>
      </c>
      <c r="D88">
        <v>3</v>
      </c>
      <c r="E88">
        <v>3</v>
      </c>
      <c r="F88">
        <v>1</v>
      </c>
      <c r="G88">
        <v>403.39</v>
      </c>
      <c r="H88" t="s">
        <v>31</v>
      </c>
      <c r="I88" s="1">
        <f t="shared" si="1"/>
        <v>0.40338999999999997</v>
      </c>
    </row>
    <row r="89" spans="1:9" x14ac:dyDescent="0.3">
      <c r="A89" t="s">
        <v>106</v>
      </c>
      <c r="B89">
        <v>0.21972</v>
      </c>
      <c r="C89">
        <v>0.12544</v>
      </c>
      <c r="D89">
        <v>65</v>
      </c>
      <c r="E89">
        <v>65</v>
      </c>
      <c r="F89">
        <v>2</v>
      </c>
      <c r="G89">
        <v>298.73</v>
      </c>
      <c r="H89" t="s">
        <v>31</v>
      </c>
      <c r="I89" s="1">
        <f t="shared" si="1"/>
        <v>0.29873</v>
      </c>
    </row>
    <row r="90" spans="1:9" x14ac:dyDescent="0.3">
      <c r="A90" t="s">
        <v>107</v>
      </c>
      <c r="B90">
        <v>0.22003</v>
      </c>
      <c r="C90">
        <v>0.13163</v>
      </c>
      <c r="D90">
        <v>77</v>
      </c>
      <c r="E90">
        <v>77</v>
      </c>
      <c r="F90">
        <v>1</v>
      </c>
      <c r="G90">
        <v>336.87</v>
      </c>
      <c r="H90" t="s">
        <v>31</v>
      </c>
      <c r="I90" s="1">
        <f t="shared" si="1"/>
        <v>0.33687</v>
      </c>
    </row>
    <row r="91" spans="1:9" x14ac:dyDescent="0.3">
      <c r="A91" t="s">
        <v>108</v>
      </c>
      <c r="B91">
        <v>0.23100999999999999</v>
      </c>
      <c r="C91">
        <v>0.17030000000000001</v>
      </c>
      <c r="D91">
        <v>95</v>
      </c>
      <c r="E91">
        <v>95</v>
      </c>
      <c r="F91">
        <v>6</v>
      </c>
      <c r="G91">
        <v>441.23</v>
      </c>
      <c r="H91" t="s">
        <v>31</v>
      </c>
      <c r="I91" s="1">
        <f t="shared" si="1"/>
        <v>0.44123000000000001</v>
      </c>
    </row>
    <row r="92" spans="1:9" x14ac:dyDescent="0.3">
      <c r="A92" t="s">
        <v>109</v>
      </c>
      <c r="B92">
        <v>0.23682</v>
      </c>
      <c r="C92">
        <v>0.16965</v>
      </c>
      <c r="D92">
        <v>80</v>
      </c>
      <c r="E92">
        <v>80</v>
      </c>
      <c r="F92">
        <v>1</v>
      </c>
      <c r="G92">
        <v>347.9</v>
      </c>
      <c r="H92" t="s">
        <v>31</v>
      </c>
      <c r="I92" s="1">
        <f t="shared" si="1"/>
        <v>0.34789999999999999</v>
      </c>
    </row>
    <row r="93" spans="1:9" x14ac:dyDescent="0.3">
      <c r="A93" t="s">
        <v>110</v>
      </c>
      <c r="B93">
        <v>0.22552</v>
      </c>
      <c r="C93">
        <v>0.14435000000000001</v>
      </c>
      <c r="D93">
        <v>56</v>
      </c>
      <c r="E93">
        <v>56</v>
      </c>
      <c r="F93">
        <v>1</v>
      </c>
      <c r="G93">
        <v>987.08</v>
      </c>
      <c r="H93" t="s">
        <v>31</v>
      </c>
      <c r="I93" s="1">
        <f t="shared" si="1"/>
        <v>0.98708000000000007</v>
      </c>
    </row>
    <row r="94" spans="1:9" x14ac:dyDescent="0.3">
      <c r="A94" t="s">
        <v>111</v>
      </c>
      <c r="B94">
        <v>0.24414</v>
      </c>
      <c r="C94">
        <v>0.88461999999999996</v>
      </c>
      <c r="D94">
        <v>1</v>
      </c>
      <c r="E94">
        <v>1</v>
      </c>
      <c r="F94">
        <v>1</v>
      </c>
      <c r="G94">
        <v>225.09</v>
      </c>
      <c r="H94" t="s">
        <v>31</v>
      </c>
      <c r="I94" s="1">
        <f t="shared" si="1"/>
        <v>0.22509000000000001</v>
      </c>
    </row>
    <row r="95" spans="1:9" x14ac:dyDescent="0.3">
      <c r="A95" t="s">
        <v>112</v>
      </c>
      <c r="B95">
        <v>0.26780999999999999</v>
      </c>
      <c r="C95">
        <v>1.31847</v>
      </c>
      <c r="D95">
        <v>1</v>
      </c>
      <c r="E95">
        <v>1</v>
      </c>
      <c r="F95">
        <v>1</v>
      </c>
      <c r="G95">
        <v>207.07</v>
      </c>
      <c r="H95" t="s">
        <v>31</v>
      </c>
      <c r="I95" s="1">
        <f t="shared" si="1"/>
        <v>0.20707</v>
      </c>
    </row>
    <row r="96" spans="1:9" x14ac:dyDescent="0.3">
      <c r="A96" t="s">
        <v>113</v>
      </c>
      <c r="B96">
        <v>0.20745</v>
      </c>
      <c r="C96">
        <v>0.10258</v>
      </c>
      <c r="D96">
        <v>312</v>
      </c>
      <c r="E96">
        <v>312</v>
      </c>
      <c r="F96">
        <v>22</v>
      </c>
      <c r="G96">
        <v>16.309999999999999</v>
      </c>
      <c r="H96" t="s">
        <v>32</v>
      </c>
      <c r="I96" s="1">
        <f t="shared" si="1"/>
        <v>16.309999999999999</v>
      </c>
    </row>
    <row r="97" spans="1:9" x14ac:dyDescent="0.3">
      <c r="A97" t="s">
        <v>114</v>
      </c>
      <c r="B97">
        <v>0.21501999999999999</v>
      </c>
      <c r="C97">
        <v>0.13363</v>
      </c>
      <c r="D97">
        <v>70</v>
      </c>
      <c r="E97">
        <v>70</v>
      </c>
      <c r="F97">
        <v>5</v>
      </c>
      <c r="G97">
        <v>348.8</v>
      </c>
      <c r="H97" t="s">
        <v>31</v>
      </c>
      <c r="I97" s="1">
        <f t="shared" si="1"/>
        <v>0.3488</v>
      </c>
    </row>
    <row r="98" spans="1:9" x14ac:dyDescent="0.3">
      <c r="A98" t="s">
        <v>115</v>
      </c>
      <c r="B98">
        <v>0.25591000000000003</v>
      </c>
      <c r="C98">
        <v>0.21218000000000001</v>
      </c>
      <c r="D98">
        <v>50</v>
      </c>
      <c r="E98">
        <v>50</v>
      </c>
      <c r="F98">
        <v>7</v>
      </c>
      <c r="G98">
        <v>938.77</v>
      </c>
      <c r="H98" t="s">
        <v>31</v>
      </c>
      <c r="I98" s="1">
        <f t="shared" si="1"/>
        <v>0.93876999999999999</v>
      </c>
    </row>
    <row r="99" spans="1:9" x14ac:dyDescent="0.3">
      <c r="A99" t="s">
        <v>116</v>
      </c>
      <c r="B99">
        <v>0.20945</v>
      </c>
      <c r="C99">
        <v>0.10951</v>
      </c>
      <c r="D99">
        <v>146</v>
      </c>
      <c r="E99">
        <v>146</v>
      </c>
      <c r="F99">
        <v>7</v>
      </c>
      <c r="G99">
        <v>1.26</v>
      </c>
      <c r="H99" t="s">
        <v>32</v>
      </c>
      <c r="I99" s="1">
        <f t="shared" si="1"/>
        <v>1.26</v>
      </c>
    </row>
    <row r="100" spans="1:9" x14ac:dyDescent="0.3">
      <c r="A100" t="s">
        <v>117</v>
      </c>
      <c r="B100">
        <v>0.21775</v>
      </c>
      <c r="C100">
        <v>0.12665000000000001</v>
      </c>
      <c r="D100">
        <v>93</v>
      </c>
      <c r="E100">
        <v>93</v>
      </c>
      <c r="F100">
        <v>8</v>
      </c>
      <c r="G100">
        <v>1.1599999999999999</v>
      </c>
      <c r="H100" t="s">
        <v>32</v>
      </c>
      <c r="I100" s="1">
        <f t="shared" si="1"/>
        <v>1.1599999999999999</v>
      </c>
    </row>
    <row r="101" spans="1:9" x14ac:dyDescent="0.3">
      <c r="A101" t="s">
        <v>118</v>
      </c>
      <c r="B101">
        <v>0.22858999999999999</v>
      </c>
      <c r="C101">
        <v>0.13832</v>
      </c>
      <c r="D101">
        <v>73</v>
      </c>
      <c r="E101">
        <v>73</v>
      </c>
      <c r="F101">
        <v>5</v>
      </c>
      <c r="G101">
        <v>357.2</v>
      </c>
      <c r="H101" t="s">
        <v>31</v>
      </c>
      <c r="I101" s="1">
        <f t="shared" si="1"/>
        <v>0.35719999999999996</v>
      </c>
    </row>
    <row r="102" spans="1:9" x14ac:dyDescent="0.3">
      <c r="A102" t="s">
        <v>119</v>
      </c>
      <c r="B102">
        <v>0.2233</v>
      </c>
      <c r="C102">
        <v>0.14932999999999999</v>
      </c>
      <c r="D102">
        <v>70</v>
      </c>
      <c r="E102">
        <v>70</v>
      </c>
      <c r="F102">
        <v>5</v>
      </c>
      <c r="G102">
        <v>304.39999999999998</v>
      </c>
      <c r="H102" t="s">
        <v>31</v>
      </c>
      <c r="I102" s="1">
        <f t="shared" si="1"/>
        <v>0.3044</v>
      </c>
    </row>
    <row r="103" spans="1:9" x14ac:dyDescent="0.3">
      <c r="A103" t="s">
        <v>120</v>
      </c>
      <c r="B103">
        <v>0.20799000000000001</v>
      </c>
      <c r="C103">
        <v>0.10835</v>
      </c>
      <c r="D103">
        <v>254</v>
      </c>
      <c r="E103">
        <v>254</v>
      </c>
      <c r="F103">
        <v>16</v>
      </c>
      <c r="G103">
        <v>9.94</v>
      </c>
      <c r="H103" t="s">
        <v>32</v>
      </c>
      <c r="I103" s="1">
        <f t="shared" si="1"/>
        <v>9.94</v>
      </c>
    </row>
    <row r="104" spans="1:9" x14ac:dyDescent="0.3">
      <c r="A104" t="s">
        <v>121</v>
      </c>
      <c r="B104">
        <v>0.23174</v>
      </c>
      <c r="C104">
        <v>1.0908199999999999</v>
      </c>
      <c r="D104">
        <v>1</v>
      </c>
      <c r="E104">
        <v>1</v>
      </c>
      <c r="F104">
        <v>1</v>
      </c>
      <c r="G104">
        <v>302.88</v>
      </c>
      <c r="H104" t="s">
        <v>31</v>
      </c>
      <c r="I104" s="1">
        <f t="shared" si="1"/>
        <v>0.30287999999999998</v>
      </c>
    </row>
    <row r="105" spans="1:9" x14ac:dyDescent="0.3">
      <c r="A105" t="s">
        <v>122</v>
      </c>
      <c r="B105">
        <v>0.20280999999999999</v>
      </c>
      <c r="C105">
        <v>0.10287</v>
      </c>
      <c r="D105">
        <v>59</v>
      </c>
      <c r="E105">
        <v>59</v>
      </c>
      <c r="F105">
        <v>5</v>
      </c>
      <c r="G105">
        <v>518.36</v>
      </c>
      <c r="H105" t="s">
        <v>31</v>
      </c>
      <c r="I105" s="1">
        <f t="shared" si="1"/>
        <v>0.51836000000000004</v>
      </c>
    </row>
    <row r="106" spans="1:9" x14ac:dyDescent="0.3">
      <c r="A106" t="s">
        <v>123</v>
      </c>
      <c r="B106">
        <v>0.21748999999999999</v>
      </c>
      <c r="C106">
        <v>0.121</v>
      </c>
      <c r="D106">
        <v>80</v>
      </c>
      <c r="E106">
        <v>80</v>
      </c>
      <c r="F106">
        <v>0</v>
      </c>
      <c r="G106">
        <v>973.79</v>
      </c>
      <c r="H106" t="s">
        <v>31</v>
      </c>
      <c r="I106" s="1">
        <f t="shared" si="1"/>
        <v>0.97378999999999993</v>
      </c>
    </row>
    <row r="107" spans="1:9" x14ac:dyDescent="0.3">
      <c r="A107" t="s">
        <v>124</v>
      </c>
      <c r="B107">
        <v>0.21395</v>
      </c>
      <c r="C107">
        <v>0.11336</v>
      </c>
      <c r="D107">
        <v>62</v>
      </c>
      <c r="E107">
        <v>62</v>
      </c>
      <c r="F107">
        <v>4</v>
      </c>
      <c r="G107">
        <v>376.62</v>
      </c>
      <c r="H107" t="s">
        <v>31</v>
      </c>
      <c r="I107" s="1">
        <f t="shared" si="1"/>
        <v>0.37662000000000001</v>
      </c>
    </row>
    <row r="108" spans="1:9" x14ac:dyDescent="0.3">
      <c r="A108" t="s">
        <v>125</v>
      </c>
      <c r="B108">
        <v>0.21626999999999999</v>
      </c>
      <c r="C108">
        <v>0.11835</v>
      </c>
      <c r="D108">
        <v>79</v>
      </c>
      <c r="E108">
        <v>79</v>
      </c>
      <c r="F108">
        <v>4</v>
      </c>
      <c r="G108">
        <v>813.44</v>
      </c>
      <c r="H108" t="s">
        <v>31</v>
      </c>
      <c r="I108" s="1">
        <f t="shared" si="1"/>
        <v>0.81344000000000005</v>
      </c>
    </row>
    <row r="109" spans="1:9" x14ac:dyDescent="0.3">
      <c r="A109" t="s">
        <v>126</v>
      </c>
      <c r="B109">
        <v>0.22867000000000001</v>
      </c>
      <c r="C109">
        <v>0.15357999999999999</v>
      </c>
      <c r="D109">
        <v>56</v>
      </c>
      <c r="E109">
        <v>56</v>
      </c>
      <c r="F109">
        <v>3</v>
      </c>
      <c r="G109">
        <v>266.08</v>
      </c>
      <c r="H109" t="s">
        <v>31</v>
      </c>
      <c r="I109" s="1">
        <f t="shared" si="1"/>
        <v>0.26607999999999998</v>
      </c>
    </row>
    <row r="110" spans="1:9" x14ac:dyDescent="0.3">
      <c r="A110" t="s">
        <v>127</v>
      </c>
      <c r="B110">
        <v>0.21484</v>
      </c>
      <c r="C110">
        <v>0.12324</v>
      </c>
      <c r="D110">
        <v>86</v>
      </c>
      <c r="E110">
        <v>86</v>
      </c>
      <c r="F110">
        <v>2</v>
      </c>
      <c r="G110">
        <v>396.02</v>
      </c>
      <c r="H110" t="s">
        <v>31</v>
      </c>
      <c r="I110" s="1">
        <f t="shared" si="1"/>
        <v>0.39601999999999998</v>
      </c>
    </row>
    <row r="111" spans="1:9" x14ac:dyDescent="0.3">
      <c r="A111" t="s">
        <v>128</v>
      </c>
      <c r="B111">
        <v>0.25378000000000001</v>
      </c>
      <c r="C111">
        <v>0.48920999999999998</v>
      </c>
      <c r="D111">
        <v>3</v>
      </c>
      <c r="E111">
        <v>3</v>
      </c>
      <c r="F111">
        <v>0</v>
      </c>
      <c r="G111">
        <v>244.5</v>
      </c>
      <c r="H111" t="s">
        <v>31</v>
      </c>
      <c r="I111" s="1">
        <f t="shared" si="1"/>
        <v>0.2445</v>
      </c>
    </row>
    <row r="112" spans="1:9" x14ac:dyDescent="0.3">
      <c r="A112" t="s">
        <v>129</v>
      </c>
      <c r="B112">
        <v>0.27550000000000002</v>
      </c>
      <c r="C112">
        <v>2.3329800000000001</v>
      </c>
      <c r="D112">
        <v>1</v>
      </c>
      <c r="E112">
        <v>1</v>
      </c>
      <c r="F112">
        <v>1</v>
      </c>
      <c r="G112">
        <v>279.3</v>
      </c>
      <c r="H112" t="s">
        <v>31</v>
      </c>
      <c r="I112" s="1">
        <f t="shared" si="1"/>
        <v>0.27929999999999999</v>
      </c>
    </row>
    <row r="113" spans="1:9" x14ac:dyDescent="0.3">
      <c r="A113" t="s">
        <v>130</v>
      </c>
      <c r="B113">
        <v>0.21945999999999999</v>
      </c>
      <c r="C113">
        <v>0.1381</v>
      </c>
      <c r="D113">
        <v>60</v>
      </c>
      <c r="E113">
        <v>60</v>
      </c>
      <c r="F113">
        <v>5</v>
      </c>
      <c r="G113">
        <v>283.31</v>
      </c>
      <c r="H113" t="s">
        <v>31</v>
      </c>
      <c r="I113" s="1">
        <f t="shared" si="1"/>
        <v>0.28331000000000001</v>
      </c>
    </row>
    <row r="114" spans="1:9" x14ac:dyDescent="0.3">
      <c r="A114" t="s">
        <v>131</v>
      </c>
      <c r="B114">
        <v>0.20752000000000001</v>
      </c>
      <c r="C114">
        <v>0.11731</v>
      </c>
      <c r="D114">
        <v>74</v>
      </c>
      <c r="E114">
        <v>74</v>
      </c>
      <c r="F114">
        <v>1</v>
      </c>
      <c r="G114">
        <v>4.03</v>
      </c>
      <c r="H114" t="s">
        <v>32</v>
      </c>
      <c r="I114" s="1">
        <f t="shared" si="1"/>
        <v>4.03</v>
      </c>
    </row>
    <row r="115" spans="1:9" x14ac:dyDescent="0.3">
      <c r="A115" t="s">
        <v>132</v>
      </c>
      <c r="B115">
        <v>0.22461999999999999</v>
      </c>
      <c r="C115">
        <v>0.13788</v>
      </c>
      <c r="D115">
        <v>62</v>
      </c>
      <c r="E115">
        <v>62</v>
      </c>
      <c r="F115">
        <v>1</v>
      </c>
      <c r="G115">
        <v>275.38</v>
      </c>
      <c r="H115" t="s">
        <v>31</v>
      </c>
      <c r="I115" s="1">
        <f t="shared" si="1"/>
        <v>0.27538000000000001</v>
      </c>
    </row>
    <row r="116" spans="1:9" x14ac:dyDescent="0.3">
      <c r="A116" t="s">
        <v>133</v>
      </c>
      <c r="B116">
        <v>0.21740000000000001</v>
      </c>
      <c r="C116">
        <v>0.12920000000000001</v>
      </c>
      <c r="D116">
        <v>50</v>
      </c>
      <c r="E116">
        <v>50</v>
      </c>
      <c r="F116">
        <v>1</v>
      </c>
      <c r="G116">
        <v>853.1</v>
      </c>
      <c r="H116" t="s">
        <v>31</v>
      </c>
      <c r="I116" s="1">
        <f t="shared" si="1"/>
        <v>0.85309999999999997</v>
      </c>
    </row>
    <row r="117" spans="1:9" x14ac:dyDescent="0.3">
      <c r="A117" t="s">
        <v>134</v>
      </c>
      <c r="B117">
        <v>0.23613000000000001</v>
      </c>
      <c r="C117">
        <v>0.61146999999999996</v>
      </c>
      <c r="D117">
        <v>2</v>
      </c>
      <c r="E117">
        <v>2</v>
      </c>
      <c r="F117">
        <v>1</v>
      </c>
      <c r="G117">
        <v>1.03</v>
      </c>
      <c r="H117" t="s">
        <v>32</v>
      </c>
      <c r="I117" s="1">
        <f t="shared" si="1"/>
        <v>1.03</v>
      </c>
    </row>
    <row r="118" spans="1:9" x14ac:dyDescent="0.3">
      <c r="A118" t="s">
        <v>135</v>
      </c>
      <c r="B118">
        <v>0.22503000000000001</v>
      </c>
      <c r="C118">
        <v>0.38616</v>
      </c>
      <c r="D118">
        <v>4</v>
      </c>
      <c r="E118">
        <v>4</v>
      </c>
      <c r="F118">
        <v>1</v>
      </c>
      <c r="G118">
        <v>373.07</v>
      </c>
      <c r="H118" t="s">
        <v>31</v>
      </c>
      <c r="I118" s="1">
        <f t="shared" si="1"/>
        <v>0.37307000000000001</v>
      </c>
    </row>
    <row r="119" spans="1:9" x14ac:dyDescent="0.3">
      <c r="A119" t="s">
        <v>136</v>
      </c>
      <c r="B119">
        <v>0.24640000000000001</v>
      </c>
      <c r="C119">
        <v>0.52973999999999999</v>
      </c>
      <c r="D119">
        <v>1</v>
      </c>
      <c r="E119">
        <v>1</v>
      </c>
      <c r="F119">
        <v>1</v>
      </c>
      <c r="G119">
        <v>216</v>
      </c>
      <c r="H119" t="s">
        <v>31</v>
      </c>
      <c r="I119" s="1">
        <f t="shared" si="1"/>
        <v>0.216</v>
      </c>
    </row>
    <row r="120" spans="1:9" x14ac:dyDescent="0.3">
      <c r="A120" t="s">
        <v>137</v>
      </c>
      <c r="B120">
        <v>0.21214</v>
      </c>
      <c r="C120">
        <v>0.11552999999999999</v>
      </c>
      <c r="D120">
        <v>86</v>
      </c>
      <c r="E120">
        <v>86</v>
      </c>
      <c r="F120">
        <v>3</v>
      </c>
      <c r="G120">
        <v>350.19</v>
      </c>
      <c r="H120" t="s">
        <v>31</v>
      </c>
      <c r="I120" s="1">
        <f t="shared" si="1"/>
        <v>0.35019</v>
      </c>
    </row>
    <row r="121" spans="1:9" x14ac:dyDescent="0.3">
      <c r="A121" t="s">
        <v>138</v>
      </c>
      <c r="B121">
        <v>0.24381</v>
      </c>
      <c r="C121">
        <v>0.83799000000000001</v>
      </c>
      <c r="D121">
        <v>1</v>
      </c>
      <c r="E121">
        <v>1</v>
      </c>
      <c r="F121">
        <v>1</v>
      </c>
      <c r="G121">
        <v>233.12</v>
      </c>
      <c r="H121" t="s">
        <v>31</v>
      </c>
      <c r="I121" s="1">
        <f t="shared" si="1"/>
        <v>0.23311999999999999</v>
      </c>
    </row>
    <row r="122" spans="1:9" x14ac:dyDescent="0.3">
      <c r="A122" t="s">
        <v>139</v>
      </c>
      <c r="B122">
        <v>0.22031000000000001</v>
      </c>
      <c r="C122">
        <v>0.13038</v>
      </c>
      <c r="D122">
        <v>84</v>
      </c>
      <c r="E122">
        <v>84</v>
      </c>
      <c r="F122">
        <v>4</v>
      </c>
      <c r="G122">
        <v>365.11</v>
      </c>
      <c r="H122" t="s">
        <v>31</v>
      </c>
      <c r="I122" s="1">
        <f t="shared" si="1"/>
        <v>0.36510999999999999</v>
      </c>
    </row>
    <row r="123" spans="1:9" x14ac:dyDescent="0.3">
      <c r="A123" t="s">
        <v>140</v>
      </c>
      <c r="B123">
        <v>0.22015999999999999</v>
      </c>
      <c r="C123">
        <v>0.12978000000000001</v>
      </c>
      <c r="D123">
        <v>64</v>
      </c>
      <c r="E123">
        <v>64</v>
      </c>
      <c r="F123">
        <v>5</v>
      </c>
      <c r="G123">
        <v>273.7</v>
      </c>
      <c r="H123" t="s">
        <v>31</v>
      </c>
      <c r="I123" s="1">
        <f t="shared" si="1"/>
        <v>0.2737</v>
      </c>
    </row>
    <row r="124" spans="1:9" x14ac:dyDescent="0.3">
      <c r="A124" t="s">
        <v>141</v>
      </c>
      <c r="B124">
        <v>0.21368000000000001</v>
      </c>
      <c r="C124">
        <v>0.11307</v>
      </c>
      <c r="D124">
        <v>77</v>
      </c>
      <c r="E124">
        <v>77</v>
      </c>
      <c r="F124">
        <v>4</v>
      </c>
      <c r="G124">
        <v>333.44</v>
      </c>
      <c r="H124" t="s">
        <v>31</v>
      </c>
      <c r="I124" s="1">
        <f t="shared" si="1"/>
        <v>0.33344000000000001</v>
      </c>
    </row>
    <row r="125" spans="1:9" x14ac:dyDescent="0.3">
      <c r="A125" t="s">
        <v>142</v>
      </c>
      <c r="B125">
        <v>0.24465000000000001</v>
      </c>
      <c r="C125">
        <v>0.51053000000000004</v>
      </c>
      <c r="D125">
        <v>4</v>
      </c>
      <c r="E125">
        <v>4</v>
      </c>
      <c r="F125">
        <v>0</v>
      </c>
      <c r="G125">
        <v>2.85</v>
      </c>
      <c r="H125" t="s">
        <v>32</v>
      </c>
      <c r="I125" s="1">
        <f t="shared" si="1"/>
        <v>2.85</v>
      </c>
    </row>
    <row r="126" spans="1:9" x14ac:dyDescent="0.3">
      <c r="A126" t="s">
        <v>143</v>
      </c>
      <c r="B126">
        <v>0.22184999999999999</v>
      </c>
      <c r="C126">
        <v>0.12123</v>
      </c>
      <c r="D126">
        <v>63</v>
      </c>
      <c r="E126">
        <v>63</v>
      </c>
      <c r="F126">
        <v>2</v>
      </c>
      <c r="G126">
        <v>262.10000000000002</v>
      </c>
      <c r="H126" t="s">
        <v>31</v>
      </c>
      <c r="I126" s="1">
        <f t="shared" si="1"/>
        <v>0.2621</v>
      </c>
    </row>
    <row r="127" spans="1:9" x14ac:dyDescent="0.3">
      <c r="A127" t="s">
        <v>144</v>
      </c>
      <c r="B127">
        <v>0.24043999999999999</v>
      </c>
      <c r="C127">
        <v>0.21293999999999999</v>
      </c>
      <c r="D127">
        <v>25</v>
      </c>
      <c r="E127">
        <v>25</v>
      </c>
      <c r="F127">
        <v>0</v>
      </c>
      <c r="G127">
        <v>872.27</v>
      </c>
      <c r="H127" t="s">
        <v>31</v>
      </c>
      <c r="I127" s="1">
        <f t="shared" si="1"/>
        <v>0.87226999999999999</v>
      </c>
    </row>
    <row r="128" spans="1:9" x14ac:dyDescent="0.3">
      <c r="A128" t="s">
        <v>145</v>
      </c>
      <c r="B128">
        <v>0.24218999999999999</v>
      </c>
      <c r="C128">
        <v>0.54157</v>
      </c>
      <c r="D128">
        <v>2</v>
      </c>
      <c r="E128">
        <v>2</v>
      </c>
      <c r="F128">
        <v>0</v>
      </c>
      <c r="G128">
        <v>197.24</v>
      </c>
      <c r="H128" t="s">
        <v>31</v>
      </c>
      <c r="I128" s="1">
        <f t="shared" si="1"/>
        <v>0.19724</v>
      </c>
    </row>
    <row r="129" spans="1:9" x14ac:dyDescent="0.3">
      <c r="A129" t="s">
        <v>146</v>
      </c>
      <c r="B129">
        <v>0.21687000000000001</v>
      </c>
      <c r="C129">
        <v>0.12127</v>
      </c>
      <c r="D129">
        <v>69</v>
      </c>
      <c r="E129">
        <v>69</v>
      </c>
      <c r="F129">
        <v>3</v>
      </c>
      <c r="G129">
        <v>427.63</v>
      </c>
      <c r="H129" t="s">
        <v>31</v>
      </c>
      <c r="I129" s="1">
        <f t="shared" si="1"/>
        <v>0.42763000000000001</v>
      </c>
    </row>
    <row r="130" spans="1:9" x14ac:dyDescent="0.3">
      <c r="A130" t="s">
        <v>147</v>
      </c>
      <c r="B130">
        <v>0.28572999999999998</v>
      </c>
      <c r="C130">
        <v>1.60971</v>
      </c>
      <c r="D130">
        <v>1</v>
      </c>
      <c r="E130">
        <v>1</v>
      </c>
      <c r="F130">
        <v>0</v>
      </c>
      <c r="G130">
        <v>245.25</v>
      </c>
      <c r="H130" t="s">
        <v>31</v>
      </c>
      <c r="I130" s="1">
        <f t="shared" si="1"/>
        <v>0.24525</v>
      </c>
    </row>
    <row r="131" spans="1:9" x14ac:dyDescent="0.3">
      <c r="A131" t="s">
        <v>148</v>
      </c>
      <c r="B131">
        <v>0.22492000000000001</v>
      </c>
      <c r="C131">
        <v>0.13227</v>
      </c>
      <c r="D131">
        <v>52</v>
      </c>
      <c r="E131">
        <v>52</v>
      </c>
      <c r="F131">
        <v>3</v>
      </c>
      <c r="G131">
        <v>283.82</v>
      </c>
      <c r="H131" t="s">
        <v>31</v>
      </c>
      <c r="I131" s="1">
        <f t="shared" ref="I131:I194" si="2">IF(H131="milliseconds",G131/1000,G131)</f>
        <v>0.28382000000000002</v>
      </c>
    </row>
    <row r="132" spans="1:9" x14ac:dyDescent="0.3">
      <c r="A132" t="s">
        <v>149</v>
      </c>
      <c r="B132">
        <v>0.22413</v>
      </c>
      <c r="C132">
        <v>0.13274</v>
      </c>
      <c r="D132">
        <v>69</v>
      </c>
      <c r="E132">
        <v>69</v>
      </c>
      <c r="F132">
        <v>7</v>
      </c>
      <c r="G132">
        <v>636.67999999999995</v>
      </c>
      <c r="H132" t="s">
        <v>31</v>
      </c>
      <c r="I132" s="1">
        <f t="shared" si="2"/>
        <v>0.63667999999999991</v>
      </c>
    </row>
    <row r="133" spans="1:9" x14ac:dyDescent="0.3">
      <c r="A133" t="s">
        <v>150</v>
      </c>
      <c r="B133">
        <v>0.25520999999999999</v>
      </c>
      <c r="C133">
        <v>1.4355899999999999</v>
      </c>
      <c r="D133">
        <v>1</v>
      </c>
      <c r="E133">
        <v>1</v>
      </c>
      <c r="F133">
        <v>0</v>
      </c>
      <c r="G133">
        <v>255.07</v>
      </c>
      <c r="H133" t="s">
        <v>31</v>
      </c>
      <c r="I133" s="1">
        <f t="shared" si="2"/>
        <v>0.25507000000000002</v>
      </c>
    </row>
    <row r="134" spans="1:9" x14ac:dyDescent="0.3">
      <c r="A134" t="s">
        <v>151</v>
      </c>
      <c r="B134">
        <v>0.21153</v>
      </c>
      <c r="C134">
        <v>0.11883000000000001</v>
      </c>
      <c r="D134">
        <v>75</v>
      </c>
      <c r="E134">
        <v>75</v>
      </c>
      <c r="F134">
        <v>4</v>
      </c>
      <c r="G134">
        <v>810.65</v>
      </c>
      <c r="H134" t="s">
        <v>31</v>
      </c>
      <c r="I134" s="1">
        <f t="shared" si="2"/>
        <v>0.81064999999999998</v>
      </c>
    </row>
    <row r="135" spans="1:9" x14ac:dyDescent="0.3">
      <c r="A135" t="s">
        <v>152</v>
      </c>
      <c r="B135">
        <v>0.21734999999999999</v>
      </c>
      <c r="C135">
        <v>0.13303999999999999</v>
      </c>
      <c r="D135">
        <v>29</v>
      </c>
      <c r="E135">
        <v>29</v>
      </c>
      <c r="F135">
        <v>3</v>
      </c>
      <c r="G135">
        <v>175.37</v>
      </c>
      <c r="H135" t="s">
        <v>31</v>
      </c>
      <c r="I135" s="1">
        <f t="shared" si="2"/>
        <v>0.17537</v>
      </c>
    </row>
    <row r="136" spans="1:9" x14ac:dyDescent="0.3">
      <c r="A136" t="s">
        <v>153</v>
      </c>
      <c r="B136">
        <v>0.22606000000000001</v>
      </c>
      <c r="C136">
        <v>0.15004999999999999</v>
      </c>
      <c r="D136">
        <v>73</v>
      </c>
      <c r="E136">
        <v>73</v>
      </c>
      <c r="F136">
        <v>1</v>
      </c>
      <c r="G136">
        <v>392.24</v>
      </c>
      <c r="H136" t="s">
        <v>31</v>
      </c>
      <c r="I136" s="1">
        <f t="shared" si="2"/>
        <v>0.39224000000000003</v>
      </c>
    </row>
    <row r="137" spans="1:9" x14ac:dyDescent="0.3">
      <c r="A137" t="s">
        <v>154</v>
      </c>
      <c r="B137">
        <v>0.24267</v>
      </c>
      <c r="C137">
        <v>1.31196</v>
      </c>
      <c r="D137">
        <v>1</v>
      </c>
      <c r="E137">
        <v>1</v>
      </c>
      <c r="F137">
        <v>1</v>
      </c>
      <c r="G137">
        <v>224.66</v>
      </c>
      <c r="H137" t="s">
        <v>31</v>
      </c>
      <c r="I137" s="1">
        <f t="shared" si="2"/>
        <v>0.22466</v>
      </c>
    </row>
    <row r="138" spans="1:9" x14ac:dyDescent="0.3">
      <c r="A138" t="s">
        <v>155</v>
      </c>
      <c r="B138">
        <v>0.2243</v>
      </c>
      <c r="C138">
        <v>0.76771</v>
      </c>
      <c r="D138">
        <v>1</v>
      </c>
      <c r="E138">
        <v>1</v>
      </c>
      <c r="F138">
        <v>0</v>
      </c>
      <c r="G138">
        <v>375.4</v>
      </c>
      <c r="H138" t="s">
        <v>31</v>
      </c>
      <c r="I138" s="1">
        <f t="shared" si="2"/>
        <v>0.37539999999999996</v>
      </c>
    </row>
    <row r="139" spans="1:9" x14ac:dyDescent="0.3">
      <c r="A139" t="s">
        <v>156</v>
      </c>
      <c r="B139">
        <v>0.41491</v>
      </c>
      <c r="C139">
        <v>1.4618500000000001</v>
      </c>
      <c r="D139">
        <v>15</v>
      </c>
      <c r="E139">
        <v>15</v>
      </c>
      <c r="F139">
        <v>3</v>
      </c>
      <c r="G139">
        <v>219.02</v>
      </c>
      <c r="H139" t="s">
        <v>31</v>
      </c>
      <c r="I139" s="1">
        <f t="shared" si="2"/>
        <v>0.21902000000000002</v>
      </c>
    </row>
    <row r="140" spans="1:9" x14ac:dyDescent="0.3">
      <c r="A140" t="s">
        <v>157</v>
      </c>
      <c r="B140">
        <v>0.22058</v>
      </c>
      <c r="C140">
        <v>0.13682</v>
      </c>
      <c r="D140">
        <v>146</v>
      </c>
      <c r="E140">
        <v>146</v>
      </c>
      <c r="F140">
        <v>5</v>
      </c>
      <c r="G140">
        <v>1.68</v>
      </c>
      <c r="H140" t="s">
        <v>32</v>
      </c>
      <c r="I140" s="1">
        <f t="shared" si="2"/>
        <v>1.68</v>
      </c>
    </row>
    <row r="141" spans="1:9" x14ac:dyDescent="0.3">
      <c r="A141" t="s">
        <v>158</v>
      </c>
      <c r="B141">
        <v>0.23988999999999999</v>
      </c>
      <c r="C141">
        <v>0.71655999999999997</v>
      </c>
      <c r="D141">
        <v>1</v>
      </c>
      <c r="E141">
        <v>1</v>
      </c>
      <c r="F141">
        <v>1</v>
      </c>
      <c r="G141">
        <v>278.67</v>
      </c>
      <c r="H141" t="s">
        <v>31</v>
      </c>
      <c r="I141" s="1">
        <f t="shared" si="2"/>
        <v>0.27867000000000003</v>
      </c>
    </row>
    <row r="142" spans="1:9" x14ac:dyDescent="0.3">
      <c r="A142" t="s">
        <v>159</v>
      </c>
      <c r="B142">
        <v>0.23995</v>
      </c>
      <c r="C142">
        <v>0.32837</v>
      </c>
      <c r="D142">
        <v>9</v>
      </c>
      <c r="E142">
        <v>9</v>
      </c>
      <c r="F142">
        <v>1</v>
      </c>
      <c r="G142">
        <v>216.95</v>
      </c>
      <c r="H142" t="s">
        <v>31</v>
      </c>
      <c r="I142" s="1">
        <f t="shared" si="2"/>
        <v>0.21694999999999998</v>
      </c>
    </row>
    <row r="143" spans="1:9" x14ac:dyDescent="0.3">
      <c r="A143" t="s">
        <v>160</v>
      </c>
      <c r="B143">
        <v>0.21465000000000001</v>
      </c>
      <c r="C143">
        <v>0.11429</v>
      </c>
      <c r="D143">
        <v>73</v>
      </c>
      <c r="E143">
        <v>73</v>
      </c>
      <c r="F143">
        <v>2</v>
      </c>
      <c r="G143">
        <v>568.78</v>
      </c>
      <c r="H143" t="s">
        <v>31</v>
      </c>
      <c r="I143" s="1">
        <f t="shared" si="2"/>
        <v>0.56877999999999995</v>
      </c>
    </row>
    <row r="144" spans="1:9" x14ac:dyDescent="0.3">
      <c r="A144" t="s">
        <v>161</v>
      </c>
      <c r="B144">
        <v>0.22012000000000001</v>
      </c>
      <c r="C144">
        <v>0.13600999999999999</v>
      </c>
      <c r="D144">
        <v>75</v>
      </c>
      <c r="E144">
        <v>75</v>
      </c>
      <c r="F144">
        <v>3</v>
      </c>
      <c r="G144">
        <v>664.71</v>
      </c>
      <c r="H144" t="s">
        <v>31</v>
      </c>
      <c r="I144" s="1">
        <f t="shared" si="2"/>
        <v>0.66471000000000002</v>
      </c>
    </row>
    <row r="145" spans="1:9" x14ac:dyDescent="0.3">
      <c r="A145" t="s">
        <v>162</v>
      </c>
      <c r="B145">
        <v>0.21758</v>
      </c>
      <c r="C145">
        <v>0.51868999999999998</v>
      </c>
      <c r="D145">
        <v>3</v>
      </c>
      <c r="E145">
        <v>3</v>
      </c>
      <c r="F145">
        <v>0</v>
      </c>
      <c r="G145">
        <v>2.17</v>
      </c>
      <c r="H145" t="s">
        <v>32</v>
      </c>
      <c r="I145" s="1">
        <f t="shared" si="2"/>
        <v>2.17</v>
      </c>
    </row>
    <row r="146" spans="1:9" x14ac:dyDescent="0.3">
      <c r="A146" t="s">
        <v>163</v>
      </c>
      <c r="B146">
        <v>0.23116</v>
      </c>
      <c r="C146">
        <v>0.14810000000000001</v>
      </c>
      <c r="D146">
        <v>57</v>
      </c>
      <c r="E146">
        <v>57</v>
      </c>
      <c r="F146">
        <v>6</v>
      </c>
      <c r="G146">
        <v>273.02999999999997</v>
      </c>
      <c r="H146" t="s">
        <v>31</v>
      </c>
      <c r="I146" s="1">
        <f t="shared" si="2"/>
        <v>0.27302999999999999</v>
      </c>
    </row>
    <row r="147" spans="1:9" x14ac:dyDescent="0.3">
      <c r="A147" t="s">
        <v>164</v>
      </c>
      <c r="B147">
        <v>0.23829</v>
      </c>
      <c r="C147">
        <v>1.1332500000000001</v>
      </c>
      <c r="D147">
        <v>1</v>
      </c>
      <c r="E147">
        <v>1</v>
      </c>
      <c r="F147">
        <v>1</v>
      </c>
      <c r="G147">
        <v>245.46</v>
      </c>
      <c r="H147" t="s">
        <v>31</v>
      </c>
      <c r="I147" s="1">
        <f t="shared" si="2"/>
        <v>0.24546000000000001</v>
      </c>
    </row>
    <row r="148" spans="1:9" x14ac:dyDescent="0.3">
      <c r="A148" t="s">
        <v>165</v>
      </c>
      <c r="B148">
        <v>0.22267000000000001</v>
      </c>
      <c r="C148">
        <v>0.16091</v>
      </c>
      <c r="D148">
        <v>47</v>
      </c>
      <c r="E148">
        <v>47</v>
      </c>
      <c r="F148">
        <v>4</v>
      </c>
      <c r="G148">
        <v>1.81</v>
      </c>
      <c r="H148" t="s">
        <v>32</v>
      </c>
      <c r="I148" s="1">
        <f t="shared" si="2"/>
        <v>1.81</v>
      </c>
    </row>
    <row r="149" spans="1:9" x14ac:dyDescent="0.3">
      <c r="A149" t="s">
        <v>166</v>
      </c>
      <c r="B149">
        <v>0.33106999999999998</v>
      </c>
      <c r="C149">
        <v>0.74275999999999998</v>
      </c>
      <c r="D149">
        <v>3</v>
      </c>
      <c r="E149">
        <v>3</v>
      </c>
      <c r="F149">
        <v>0</v>
      </c>
      <c r="G149">
        <v>269.66000000000003</v>
      </c>
      <c r="H149" t="s">
        <v>31</v>
      </c>
      <c r="I149" s="1">
        <f t="shared" si="2"/>
        <v>0.26966000000000001</v>
      </c>
    </row>
    <row r="150" spans="1:9" x14ac:dyDescent="0.3">
      <c r="A150" t="s">
        <v>167</v>
      </c>
      <c r="B150">
        <v>0.21590000000000001</v>
      </c>
      <c r="C150">
        <v>0.11816</v>
      </c>
      <c r="D150">
        <v>60</v>
      </c>
      <c r="E150">
        <v>60</v>
      </c>
      <c r="F150">
        <v>7</v>
      </c>
      <c r="G150">
        <v>817.65</v>
      </c>
      <c r="H150" t="s">
        <v>31</v>
      </c>
      <c r="I150" s="1">
        <f t="shared" si="2"/>
        <v>0.81764999999999999</v>
      </c>
    </row>
    <row r="151" spans="1:9" x14ac:dyDescent="0.3">
      <c r="A151" t="s">
        <v>168</v>
      </c>
      <c r="B151">
        <v>0.22153</v>
      </c>
      <c r="C151">
        <v>0.36647000000000002</v>
      </c>
      <c r="D151">
        <v>2</v>
      </c>
      <c r="E151">
        <v>2</v>
      </c>
      <c r="F151">
        <v>1</v>
      </c>
      <c r="G151">
        <v>254.79</v>
      </c>
      <c r="H151" t="s">
        <v>31</v>
      </c>
      <c r="I151" s="1">
        <f t="shared" si="2"/>
        <v>0.25479000000000002</v>
      </c>
    </row>
    <row r="152" spans="1:9" x14ac:dyDescent="0.3">
      <c r="A152" t="s">
        <v>169</v>
      </c>
      <c r="B152">
        <v>0.25942999999999999</v>
      </c>
      <c r="C152">
        <v>1.17892</v>
      </c>
      <c r="D152">
        <v>2</v>
      </c>
      <c r="E152">
        <v>2</v>
      </c>
      <c r="F152">
        <v>1</v>
      </c>
      <c r="G152">
        <v>235.56</v>
      </c>
      <c r="H152" t="s">
        <v>31</v>
      </c>
      <c r="I152" s="1">
        <f t="shared" si="2"/>
        <v>0.23555999999999999</v>
      </c>
    </row>
    <row r="153" spans="1:9" x14ac:dyDescent="0.3">
      <c r="A153" t="s">
        <v>170</v>
      </c>
      <c r="B153">
        <v>0.23993</v>
      </c>
      <c r="C153">
        <v>0.43186999999999998</v>
      </c>
      <c r="D153">
        <v>6</v>
      </c>
      <c r="E153">
        <v>6</v>
      </c>
      <c r="F153">
        <v>2</v>
      </c>
      <c r="G153">
        <v>246.67</v>
      </c>
      <c r="H153" t="s">
        <v>31</v>
      </c>
      <c r="I153" s="1">
        <f t="shared" si="2"/>
        <v>0.24667</v>
      </c>
    </row>
    <row r="154" spans="1:9" x14ac:dyDescent="0.3">
      <c r="A154" t="s">
        <v>171</v>
      </c>
      <c r="B154">
        <v>0.24107000000000001</v>
      </c>
      <c r="C154">
        <v>0.754</v>
      </c>
      <c r="D154">
        <v>3</v>
      </c>
      <c r="E154">
        <v>3</v>
      </c>
      <c r="F154">
        <v>2</v>
      </c>
      <c r="G154">
        <v>223.04</v>
      </c>
      <c r="H154" t="s">
        <v>31</v>
      </c>
      <c r="I154" s="1">
        <f t="shared" si="2"/>
        <v>0.22303999999999999</v>
      </c>
    </row>
    <row r="155" spans="1:9" x14ac:dyDescent="0.3">
      <c r="A155" t="s">
        <v>172</v>
      </c>
      <c r="B155">
        <v>0.23119000000000001</v>
      </c>
      <c r="C155">
        <v>0.54432999999999998</v>
      </c>
      <c r="D155">
        <v>4</v>
      </c>
      <c r="E155">
        <v>4</v>
      </c>
      <c r="F155">
        <v>0</v>
      </c>
      <c r="G155">
        <v>485.95</v>
      </c>
      <c r="H155" t="s">
        <v>31</v>
      </c>
      <c r="I155" s="1">
        <f t="shared" si="2"/>
        <v>0.48594999999999999</v>
      </c>
    </row>
    <row r="156" spans="1:9" x14ac:dyDescent="0.3">
      <c r="A156" t="s">
        <v>173</v>
      </c>
      <c r="B156">
        <v>0.21681</v>
      </c>
      <c r="C156">
        <v>0.67323</v>
      </c>
      <c r="D156">
        <v>1</v>
      </c>
      <c r="E156">
        <v>1</v>
      </c>
      <c r="F156">
        <v>1</v>
      </c>
      <c r="G156">
        <v>618.66999999999996</v>
      </c>
      <c r="H156" t="s">
        <v>31</v>
      </c>
      <c r="I156" s="1">
        <f t="shared" si="2"/>
        <v>0.61866999999999994</v>
      </c>
    </row>
    <row r="157" spans="1:9" x14ac:dyDescent="0.3">
      <c r="A157" t="s">
        <v>174</v>
      </c>
      <c r="B157">
        <v>0.23451</v>
      </c>
      <c r="C157">
        <v>0.75246000000000002</v>
      </c>
      <c r="D157">
        <v>1</v>
      </c>
      <c r="E157">
        <v>1</v>
      </c>
      <c r="F157">
        <v>1</v>
      </c>
      <c r="G157">
        <v>257.52</v>
      </c>
      <c r="H157" t="s">
        <v>31</v>
      </c>
      <c r="I157" s="1">
        <f t="shared" si="2"/>
        <v>0.25751999999999997</v>
      </c>
    </row>
    <row r="158" spans="1:9" x14ac:dyDescent="0.3">
      <c r="A158" t="s">
        <v>175</v>
      </c>
      <c r="B158">
        <v>0.22839000000000001</v>
      </c>
      <c r="C158">
        <v>0.6583</v>
      </c>
      <c r="D158">
        <v>1</v>
      </c>
      <c r="E158">
        <v>1</v>
      </c>
      <c r="F158">
        <v>1</v>
      </c>
      <c r="G158">
        <v>326.73</v>
      </c>
      <c r="H158" t="s">
        <v>31</v>
      </c>
      <c r="I158" s="1">
        <f t="shared" si="2"/>
        <v>0.32673000000000002</v>
      </c>
    </row>
    <row r="159" spans="1:9" x14ac:dyDescent="0.3">
      <c r="A159" t="s">
        <v>176</v>
      </c>
      <c r="B159">
        <v>0.24310000000000001</v>
      </c>
      <c r="C159">
        <v>1.6936599999999999</v>
      </c>
      <c r="D159">
        <v>1</v>
      </c>
      <c r="E159">
        <v>1</v>
      </c>
      <c r="F159">
        <v>1</v>
      </c>
      <c r="G159">
        <v>270.27</v>
      </c>
      <c r="H159" t="s">
        <v>31</v>
      </c>
      <c r="I159" s="1">
        <f t="shared" si="2"/>
        <v>0.27026999999999995</v>
      </c>
    </row>
    <row r="160" spans="1:9" x14ac:dyDescent="0.3">
      <c r="A160" t="s">
        <v>177</v>
      </c>
      <c r="B160">
        <v>0.22289999999999999</v>
      </c>
      <c r="C160">
        <v>0.37245</v>
      </c>
      <c r="D160">
        <v>4</v>
      </c>
      <c r="E160">
        <v>4</v>
      </c>
      <c r="F160">
        <v>2</v>
      </c>
      <c r="G160">
        <v>867.29</v>
      </c>
      <c r="H160" t="s">
        <v>31</v>
      </c>
      <c r="I160" s="1">
        <f t="shared" si="2"/>
        <v>0.86729000000000001</v>
      </c>
    </row>
    <row r="161" spans="1:9" x14ac:dyDescent="0.3">
      <c r="A161" t="s">
        <v>178</v>
      </c>
      <c r="B161">
        <v>0.28077999999999997</v>
      </c>
      <c r="C161">
        <v>2.0726599999999999</v>
      </c>
      <c r="D161">
        <v>3</v>
      </c>
      <c r="E161">
        <v>3</v>
      </c>
      <c r="F161">
        <v>2</v>
      </c>
      <c r="G161">
        <v>293.74</v>
      </c>
      <c r="H161" t="s">
        <v>31</v>
      </c>
      <c r="I161" s="1">
        <f t="shared" si="2"/>
        <v>0.29374</v>
      </c>
    </row>
    <row r="162" spans="1:9" x14ac:dyDescent="0.3">
      <c r="A162" t="s">
        <v>179</v>
      </c>
      <c r="B162">
        <v>0.23683999999999999</v>
      </c>
      <c r="C162">
        <v>0.80174999999999996</v>
      </c>
      <c r="D162">
        <v>1</v>
      </c>
      <c r="E162">
        <v>1</v>
      </c>
      <c r="F162">
        <v>0</v>
      </c>
      <c r="G162">
        <v>290.85000000000002</v>
      </c>
      <c r="H162" t="s">
        <v>31</v>
      </c>
      <c r="I162" s="1">
        <f t="shared" si="2"/>
        <v>0.29085</v>
      </c>
    </row>
    <row r="163" spans="1:9" x14ac:dyDescent="0.3">
      <c r="A163" t="s">
        <v>180</v>
      </c>
      <c r="B163">
        <v>0.22398000000000001</v>
      </c>
      <c r="C163">
        <v>0.50527999999999995</v>
      </c>
      <c r="D163">
        <v>4</v>
      </c>
      <c r="E163">
        <v>4</v>
      </c>
      <c r="F163">
        <v>1</v>
      </c>
      <c r="G163">
        <v>1.19</v>
      </c>
      <c r="H163" t="s">
        <v>32</v>
      </c>
      <c r="I163" s="1">
        <f t="shared" si="2"/>
        <v>1.19</v>
      </c>
    </row>
    <row r="164" spans="1:9" x14ac:dyDescent="0.3">
      <c r="A164" t="s">
        <v>181</v>
      </c>
      <c r="B164">
        <v>0.23347999999999999</v>
      </c>
      <c r="C164">
        <v>0.85346</v>
      </c>
      <c r="D164">
        <v>3</v>
      </c>
      <c r="E164">
        <v>3</v>
      </c>
      <c r="F164">
        <v>2</v>
      </c>
      <c r="G164">
        <v>448.05</v>
      </c>
      <c r="H164" t="s">
        <v>31</v>
      </c>
      <c r="I164" s="1">
        <f t="shared" si="2"/>
        <v>0.44805</v>
      </c>
    </row>
    <row r="165" spans="1:9" x14ac:dyDescent="0.3">
      <c r="A165" t="s">
        <v>182</v>
      </c>
      <c r="B165">
        <v>0.24837999999999999</v>
      </c>
      <c r="C165">
        <v>0.43329000000000001</v>
      </c>
      <c r="D165">
        <v>6</v>
      </c>
      <c r="E165">
        <v>6</v>
      </c>
      <c r="F165">
        <v>1</v>
      </c>
      <c r="G165">
        <v>274.83</v>
      </c>
      <c r="H165" t="s">
        <v>31</v>
      </c>
      <c r="I165" s="1">
        <f t="shared" si="2"/>
        <v>0.27482999999999996</v>
      </c>
    </row>
    <row r="166" spans="1:9" x14ac:dyDescent="0.3">
      <c r="A166" t="s">
        <v>183</v>
      </c>
      <c r="B166">
        <v>0.31559999999999999</v>
      </c>
      <c r="C166">
        <v>1.0103500000000001</v>
      </c>
      <c r="D166">
        <v>24</v>
      </c>
      <c r="E166">
        <v>24</v>
      </c>
      <c r="F166">
        <v>5</v>
      </c>
      <c r="G166">
        <v>302.23</v>
      </c>
      <c r="H166" t="s">
        <v>31</v>
      </c>
      <c r="I166" s="1">
        <f t="shared" si="2"/>
        <v>0.30223</v>
      </c>
    </row>
    <row r="167" spans="1:9" x14ac:dyDescent="0.3">
      <c r="A167" t="s">
        <v>184</v>
      </c>
      <c r="B167">
        <v>0.30330000000000001</v>
      </c>
      <c r="C167">
        <v>0.92566999999999999</v>
      </c>
      <c r="D167">
        <v>1</v>
      </c>
      <c r="E167">
        <v>1</v>
      </c>
      <c r="F167">
        <v>0</v>
      </c>
      <c r="G167">
        <v>902.56</v>
      </c>
      <c r="H167" t="s">
        <v>31</v>
      </c>
      <c r="I167" s="1">
        <f t="shared" si="2"/>
        <v>0.90255999999999992</v>
      </c>
    </row>
    <row r="168" spans="1:9" x14ac:dyDescent="0.3">
      <c r="A168" t="s">
        <v>185</v>
      </c>
      <c r="B168">
        <v>0.25339</v>
      </c>
      <c r="C168">
        <v>0.52105000000000001</v>
      </c>
      <c r="D168">
        <v>5</v>
      </c>
      <c r="E168">
        <v>5</v>
      </c>
      <c r="F168">
        <v>1</v>
      </c>
      <c r="G168">
        <v>384.44</v>
      </c>
      <c r="H168" t="s">
        <v>31</v>
      </c>
      <c r="I168" s="1">
        <f t="shared" si="2"/>
        <v>0.38444</v>
      </c>
    </row>
    <row r="169" spans="1:9" x14ac:dyDescent="0.3">
      <c r="A169" t="s">
        <v>186</v>
      </c>
      <c r="B169">
        <v>0.23799999999999999</v>
      </c>
      <c r="C169">
        <v>0.97092999999999996</v>
      </c>
      <c r="D169">
        <v>1</v>
      </c>
      <c r="E169">
        <v>1</v>
      </c>
      <c r="F169">
        <v>1</v>
      </c>
      <c r="G169">
        <v>263.52999999999997</v>
      </c>
      <c r="H169" t="s">
        <v>31</v>
      </c>
      <c r="I169" s="1">
        <f t="shared" si="2"/>
        <v>0.26352999999999999</v>
      </c>
    </row>
    <row r="170" spans="1:9" x14ac:dyDescent="0.3">
      <c r="A170" t="s">
        <v>187</v>
      </c>
      <c r="B170">
        <v>0.29335</v>
      </c>
      <c r="C170">
        <v>1.23824</v>
      </c>
      <c r="D170">
        <v>2</v>
      </c>
      <c r="E170">
        <v>2</v>
      </c>
      <c r="F170">
        <v>0</v>
      </c>
      <c r="G170">
        <v>285.58999999999997</v>
      </c>
      <c r="H170" t="s">
        <v>31</v>
      </c>
      <c r="I170" s="1">
        <f t="shared" si="2"/>
        <v>0.28558999999999996</v>
      </c>
    </row>
    <row r="171" spans="1:9" x14ac:dyDescent="0.3">
      <c r="A171" t="s">
        <v>188</v>
      </c>
      <c r="B171">
        <v>0.22906000000000001</v>
      </c>
      <c r="C171">
        <v>0.36764999999999998</v>
      </c>
      <c r="D171">
        <v>5</v>
      </c>
      <c r="E171">
        <v>5</v>
      </c>
      <c r="F171">
        <v>2</v>
      </c>
      <c r="G171">
        <v>283.19</v>
      </c>
      <c r="H171" t="s">
        <v>31</v>
      </c>
      <c r="I171" s="1">
        <f t="shared" si="2"/>
        <v>0.28319</v>
      </c>
    </row>
    <row r="172" spans="1:9" x14ac:dyDescent="0.3">
      <c r="A172" t="s">
        <v>189</v>
      </c>
      <c r="B172">
        <v>0.23263</v>
      </c>
      <c r="C172">
        <v>0.50299000000000005</v>
      </c>
      <c r="D172">
        <v>3</v>
      </c>
      <c r="E172">
        <v>3</v>
      </c>
      <c r="F172">
        <v>1</v>
      </c>
      <c r="G172">
        <v>787.03</v>
      </c>
      <c r="H172" t="s">
        <v>31</v>
      </c>
      <c r="I172" s="1">
        <f t="shared" si="2"/>
        <v>0.78703000000000001</v>
      </c>
    </row>
    <row r="173" spans="1:9" x14ac:dyDescent="0.3">
      <c r="A173" t="s">
        <v>190</v>
      </c>
      <c r="B173">
        <v>0.26849000000000001</v>
      </c>
      <c r="C173">
        <v>1.1902200000000001</v>
      </c>
      <c r="D173">
        <v>1</v>
      </c>
      <c r="E173">
        <v>1</v>
      </c>
      <c r="F173">
        <v>0</v>
      </c>
      <c r="G173">
        <v>193.96</v>
      </c>
      <c r="H173" t="s">
        <v>31</v>
      </c>
      <c r="I173" s="1">
        <f t="shared" si="2"/>
        <v>0.19396000000000002</v>
      </c>
    </row>
    <row r="174" spans="1:9" x14ac:dyDescent="0.3">
      <c r="A174" t="s">
        <v>191</v>
      </c>
      <c r="B174">
        <v>0.40395999999999999</v>
      </c>
      <c r="C174">
        <v>2.2723900000000001</v>
      </c>
      <c r="D174">
        <v>55</v>
      </c>
      <c r="E174">
        <v>55</v>
      </c>
      <c r="F174">
        <v>8</v>
      </c>
      <c r="G174">
        <v>1.32</v>
      </c>
      <c r="H174" t="s">
        <v>32</v>
      </c>
      <c r="I174" s="1">
        <f t="shared" si="2"/>
        <v>1.32</v>
      </c>
    </row>
    <row r="175" spans="1:9" x14ac:dyDescent="0.3">
      <c r="A175" t="s">
        <v>192</v>
      </c>
      <c r="B175">
        <v>0.27633000000000002</v>
      </c>
      <c r="C175">
        <v>0.43572</v>
      </c>
      <c r="D175">
        <v>20</v>
      </c>
      <c r="E175">
        <v>20</v>
      </c>
      <c r="F175">
        <v>0</v>
      </c>
      <c r="G175">
        <v>460.65</v>
      </c>
      <c r="H175" t="s">
        <v>31</v>
      </c>
      <c r="I175" s="1">
        <f t="shared" si="2"/>
        <v>0.46065</v>
      </c>
    </row>
    <row r="176" spans="1:9" x14ac:dyDescent="0.3">
      <c r="A176" t="s">
        <v>193</v>
      </c>
      <c r="B176">
        <v>0.24076</v>
      </c>
      <c r="C176">
        <v>1.21631</v>
      </c>
      <c r="D176">
        <v>1</v>
      </c>
      <c r="E176">
        <v>1</v>
      </c>
      <c r="F176">
        <v>1</v>
      </c>
      <c r="G176">
        <v>251.83</v>
      </c>
      <c r="H176" t="s">
        <v>31</v>
      </c>
      <c r="I176" s="1">
        <f t="shared" si="2"/>
        <v>0.25183</v>
      </c>
    </row>
    <row r="177" spans="1:9" x14ac:dyDescent="0.3">
      <c r="A177" t="s">
        <v>194</v>
      </c>
      <c r="B177">
        <v>0.24803</v>
      </c>
      <c r="C177">
        <v>1.7795300000000001</v>
      </c>
      <c r="D177">
        <v>1</v>
      </c>
      <c r="E177">
        <v>1</v>
      </c>
      <c r="F177">
        <v>0</v>
      </c>
      <c r="G177">
        <v>320.39</v>
      </c>
      <c r="H177" t="s">
        <v>31</v>
      </c>
      <c r="I177" s="1">
        <f t="shared" si="2"/>
        <v>0.32039000000000001</v>
      </c>
    </row>
    <row r="178" spans="1:9" x14ac:dyDescent="0.3">
      <c r="A178" t="s">
        <v>195</v>
      </c>
      <c r="B178">
        <v>0.22301000000000001</v>
      </c>
      <c r="C178">
        <v>0.53902000000000005</v>
      </c>
      <c r="D178">
        <v>2</v>
      </c>
      <c r="E178">
        <v>2</v>
      </c>
      <c r="F178">
        <v>1</v>
      </c>
      <c r="G178">
        <v>250.21</v>
      </c>
      <c r="H178" t="s">
        <v>31</v>
      </c>
      <c r="I178" s="1">
        <f t="shared" si="2"/>
        <v>0.25020999999999999</v>
      </c>
    </row>
    <row r="179" spans="1:9" x14ac:dyDescent="0.3">
      <c r="A179" t="s">
        <v>196</v>
      </c>
      <c r="B179">
        <v>0.25218000000000002</v>
      </c>
      <c r="C179">
        <v>1.5751900000000001</v>
      </c>
      <c r="D179">
        <v>1</v>
      </c>
      <c r="E179">
        <v>1</v>
      </c>
      <c r="F179">
        <v>1</v>
      </c>
      <c r="G179">
        <v>250.81</v>
      </c>
      <c r="H179" t="s">
        <v>31</v>
      </c>
      <c r="I179" s="1">
        <f t="shared" si="2"/>
        <v>0.25080999999999998</v>
      </c>
    </row>
    <row r="180" spans="1:9" x14ac:dyDescent="0.3">
      <c r="A180" t="s">
        <v>197</v>
      </c>
      <c r="B180">
        <v>0.24679000000000001</v>
      </c>
      <c r="C180">
        <v>1.4682900000000001</v>
      </c>
      <c r="D180">
        <v>1</v>
      </c>
      <c r="E180">
        <v>1</v>
      </c>
      <c r="F180">
        <v>0</v>
      </c>
      <c r="G180">
        <v>285.18</v>
      </c>
      <c r="H180" t="s">
        <v>31</v>
      </c>
      <c r="I180" s="1">
        <f t="shared" si="2"/>
        <v>0.28517999999999999</v>
      </c>
    </row>
    <row r="181" spans="1:9" x14ac:dyDescent="0.3">
      <c r="A181" t="s">
        <v>198</v>
      </c>
      <c r="B181">
        <v>0.22270999999999999</v>
      </c>
      <c r="C181">
        <v>0.48198999999999997</v>
      </c>
      <c r="D181">
        <v>5</v>
      </c>
      <c r="E181">
        <v>5</v>
      </c>
      <c r="F181">
        <v>2</v>
      </c>
      <c r="G181">
        <v>458.18</v>
      </c>
      <c r="H181" t="s">
        <v>31</v>
      </c>
      <c r="I181" s="1">
        <f t="shared" si="2"/>
        <v>0.45818000000000003</v>
      </c>
    </row>
    <row r="182" spans="1:9" x14ac:dyDescent="0.3">
      <c r="A182" t="s">
        <v>199</v>
      </c>
      <c r="B182">
        <v>0.23041</v>
      </c>
      <c r="C182">
        <v>0.49398999999999998</v>
      </c>
      <c r="D182">
        <v>2</v>
      </c>
      <c r="E182">
        <v>2</v>
      </c>
      <c r="F182">
        <v>1</v>
      </c>
      <c r="G182">
        <v>312.74</v>
      </c>
      <c r="H182" t="s">
        <v>31</v>
      </c>
      <c r="I182" s="1">
        <f t="shared" si="2"/>
        <v>0.31274000000000002</v>
      </c>
    </row>
    <row r="183" spans="1:9" x14ac:dyDescent="0.3">
      <c r="A183" t="s">
        <v>200</v>
      </c>
      <c r="B183">
        <v>0.27138000000000001</v>
      </c>
      <c r="C183">
        <v>0.36177999999999999</v>
      </c>
      <c r="D183">
        <v>21</v>
      </c>
      <c r="E183">
        <v>21</v>
      </c>
      <c r="F183">
        <v>2</v>
      </c>
      <c r="G183">
        <v>346.28</v>
      </c>
      <c r="H183" t="s">
        <v>31</v>
      </c>
      <c r="I183" s="1">
        <f t="shared" si="2"/>
        <v>0.34627999999999998</v>
      </c>
    </row>
    <row r="184" spans="1:9" x14ac:dyDescent="0.3">
      <c r="A184" t="s">
        <v>201</v>
      </c>
      <c r="B184">
        <v>0.27993000000000001</v>
      </c>
      <c r="C184">
        <v>0.64141000000000004</v>
      </c>
      <c r="D184">
        <v>4</v>
      </c>
      <c r="E184">
        <v>4</v>
      </c>
      <c r="F184">
        <v>1</v>
      </c>
      <c r="G184">
        <v>198.1</v>
      </c>
      <c r="H184" t="s">
        <v>31</v>
      </c>
      <c r="I184" s="1">
        <f t="shared" si="2"/>
        <v>0.1981</v>
      </c>
    </row>
    <row r="185" spans="1:9" x14ac:dyDescent="0.3">
      <c r="A185" t="s">
        <v>202</v>
      </c>
      <c r="B185">
        <v>0.28410000000000002</v>
      </c>
      <c r="C185">
        <v>2.3828399999999998</v>
      </c>
      <c r="D185">
        <v>2</v>
      </c>
      <c r="E185">
        <v>2</v>
      </c>
      <c r="F185">
        <v>2</v>
      </c>
      <c r="G185">
        <v>255.38</v>
      </c>
      <c r="H185" t="s">
        <v>31</v>
      </c>
      <c r="I185" s="1">
        <f t="shared" si="2"/>
        <v>0.25538</v>
      </c>
    </row>
    <row r="186" spans="1:9" x14ac:dyDescent="0.3">
      <c r="A186" t="s">
        <v>203</v>
      </c>
      <c r="B186">
        <v>0.22939000000000001</v>
      </c>
      <c r="C186">
        <v>0.50204000000000004</v>
      </c>
      <c r="D186">
        <v>2</v>
      </c>
      <c r="E186">
        <v>2</v>
      </c>
      <c r="F186">
        <v>2</v>
      </c>
      <c r="G186">
        <v>244.56</v>
      </c>
      <c r="H186" t="s">
        <v>31</v>
      </c>
      <c r="I186" s="1">
        <f t="shared" si="2"/>
        <v>0.24456</v>
      </c>
    </row>
    <row r="187" spans="1:9" x14ac:dyDescent="0.3">
      <c r="A187" t="s">
        <v>204</v>
      </c>
      <c r="B187">
        <v>0.24864</v>
      </c>
      <c r="C187">
        <v>0.93240000000000001</v>
      </c>
      <c r="D187">
        <v>1</v>
      </c>
      <c r="E187">
        <v>1</v>
      </c>
      <c r="F187">
        <v>1</v>
      </c>
      <c r="G187">
        <v>329.68</v>
      </c>
      <c r="H187" t="s">
        <v>31</v>
      </c>
      <c r="I187" s="1">
        <f t="shared" si="2"/>
        <v>0.32968000000000003</v>
      </c>
    </row>
    <row r="188" spans="1:9" x14ac:dyDescent="0.3">
      <c r="A188" t="s">
        <v>205</v>
      </c>
      <c r="B188">
        <v>0.22906000000000001</v>
      </c>
      <c r="C188">
        <v>0.50431999999999999</v>
      </c>
      <c r="D188">
        <v>3</v>
      </c>
      <c r="E188">
        <v>3</v>
      </c>
      <c r="F188">
        <v>1</v>
      </c>
      <c r="G188">
        <v>268.85000000000002</v>
      </c>
      <c r="H188" t="s">
        <v>31</v>
      </c>
      <c r="I188" s="1">
        <f t="shared" si="2"/>
        <v>0.26885000000000003</v>
      </c>
    </row>
    <row r="189" spans="1:9" x14ac:dyDescent="0.3">
      <c r="A189" t="s">
        <v>206</v>
      </c>
      <c r="B189">
        <v>0.24314</v>
      </c>
      <c r="C189">
        <v>1.5441499999999999</v>
      </c>
      <c r="D189">
        <v>1</v>
      </c>
      <c r="E189">
        <v>1</v>
      </c>
      <c r="F189">
        <v>1</v>
      </c>
      <c r="G189">
        <v>260.7</v>
      </c>
      <c r="H189" t="s">
        <v>31</v>
      </c>
      <c r="I189" s="1">
        <f t="shared" si="2"/>
        <v>0.26069999999999999</v>
      </c>
    </row>
    <row r="190" spans="1:9" x14ac:dyDescent="0.3">
      <c r="A190" t="s">
        <v>207</v>
      </c>
      <c r="B190">
        <v>0.22978000000000001</v>
      </c>
      <c r="C190">
        <v>0.50834999999999997</v>
      </c>
      <c r="D190">
        <v>2</v>
      </c>
      <c r="E190">
        <v>2</v>
      </c>
      <c r="F190">
        <v>1</v>
      </c>
      <c r="G190">
        <v>250.49</v>
      </c>
      <c r="H190" t="s">
        <v>31</v>
      </c>
      <c r="I190" s="1">
        <f t="shared" si="2"/>
        <v>0.25048999999999999</v>
      </c>
    </row>
    <row r="191" spans="1:9" x14ac:dyDescent="0.3">
      <c r="A191" t="s">
        <v>208</v>
      </c>
      <c r="B191">
        <v>0.25229000000000001</v>
      </c>
      <c r="C191">
        <v>0.48018</v>
      </c>
      <c r="D191">
        <v>3</v>
      </c>
      <c r="E191">
        <v>3</v>
      </c>
      <c r="F191">
        <v>1</v>
      </c>
      <c r="G191">
        <v>270.01</v>
      </c>
      <c r="H191" t="s">
        <v>31</v>
      </c>
      <c r="I191" s="1">
        <f t="shared" si="2"/>
        <v>0.27000999999999997</v>
      </c>
    </row>
    <row r="192" spans="1:9" x14ac:dyDescent="0.3">
      <c r="A192" t="s">
        <v>209</v>
      </c>
      <c r="B192">
        <v>0.24768000000000001</v>
      </c>
      <c r="C192">
        <v>1.94167</v>
      </c>
      <c r="D192">
        <v>1</v>
      </c>
      <c r="E192">
        <v>1</v>
      </c>
      <c r="F192">
        <v>1</v>
      </c>
      <c r="G192">
        <v>283.14</v>
      </c>
      <c r="H192" t="s">
        <v>31</v>
      </c>
      <c r="I192" s="1">
        <f t="shared" si="2"/>
        <v>0.28314</v>
      </c>
    </row>
    <row r="193" spans="1:9" x14ac:dyDescent="0.3">
      <c r="A193" t="s">
        <v>210</v>
      </c>
      <c r="B193">
        <v>0.25790000000000002</v>
      </c>
      <c r="C193">
        <v>1.55219</v>
      </c>
      <c r="D193">
        <v>1</v>
      </c>
      <c r="E193">
        <v>1</v>
      </c>
      <c r="F193">
        <v>1</v>
      </c>
      <c r="G193">
        <v>216.32</v>
      </c>
      <c r="H193" t="s">
        <v>31</v>
      </c>
      <c r="I193" s="1">
        <f t="shared" si="2"/>
        <v>0.21631999999999998</v>
      </c>
    </row>
    <row r="194" spans="1:9" x14ac:dyDescent="0.3">
      <c r="A194" t="s">
        <v>211</v>
      </c>
      <c r="B194">
        <v>0.23014000000000001</v>
      </c>
      <c r="C194">
        <v>0.32991999999999999</v>
      </c>
      <c r="D194">
        <v>7</v>
      </c>
      <c r="E194">
        <v>7</v>
      </c>
      <c r="F194">
        <v>2</v>
      </c>
      <c r="G194">
        <v>331.11</v>
      </c>
      <c r="H194" t="s">
        <v>31</v>
      </c>
      <c r="I194" s="1">
        <f t="shared" si="2"/>
        <v>0.33111000000000002</v>
      </c>
    </row>
    <row r="195" spans="1:9" x14ac:dyDescent="0.3">
      <c r="A195" t="s">
        <v>212</v>
      </c>
      <c r="B195">
        <v>0.21623000000000001</v>
      </c>
      <c r="C195">
        <v>0.62082999999999999</v>
      </c>
      <c r="D195">
        <v>1</v>
      </c>
      <c r="E195">
        <v>1</v>
      </c>
      <c r="F195">
        <v>0</v>
      </c>
      <c r="G195">
        <v>442.08</v>
      </c>
      <c r="H195" t="s">
        <v>31</v>
      </c>
      <c r="I195" s="1">
        <f t="shared" ref="I195:I258" si="3">IF(H195="milliseconds",G195/1000,G195)</f>
        <v>0.44207999999999997</v>
      </c>
    </row>
    <row r="196" spans="1:9" x14ac:dyDescent="0.3">
      <c r="A196" t="s">
        <v>213</v>
      </c>
      <c r="B196">
        <v>0.24049999999999999</v>
      </c>
      <c r="C196">
        <v>0.31408000000000003</v>
      </c>
      <c r="D196">
        <v>7</v>
      </c>
      <c r="E196">
        <v>7</v>
      </c>
      <c r="F196">
        <v>2</v>
      </c>
      <c r="G196">
        <v>255.32</v>
      </c>
      <c r="H196" t="s">
        <v>31</v>
      </c>
      <c r="I196" s="1">
        <f t="shared" si="3"/>
        <v>0.25531999999999999</v>
      </c>
    </row>
    <row r="197" spans="1:9" x14ac:dyDescent="0.3">
      <c r="A197" t="s">
        <v>214</v>
      </c>
      <c r="B197">
        <v>0.40360000000000001</v>
      </c>
      <c r="C197">
        <v>2.4195500000000001</v>
      </c>
      <c r="D197">
        <v>12</v>
      </c>
      <c r="E197">
        <v>12</v>
      </c>
      <c r="F197">
        <v>0</v>
      </c>
      <c r="G197">
        <v>541.98</v>
      </c>
      <c r="H197" t="s">
        <v>31</v>
      </c>
      <c r="I197" s="1">
        <f t="shared" si="3"/>
        <v>0.54198000000000002</v>
      </c>
    </row>
    <row r="198" spans="1:9" x14ac:dyDescent="0.3">
      <c r="A198" t="s">
        <v>215</v>
      </c>
      <c r="B198">
        <v>0.20508999999999999</v>
      </c>
      <c r="C198">
        <v>0.47248000000000001</v>
      </c>
      <c r="D198">
        <v>1</v>
      </c>
      <c r="E198">
        <v>1</v>
      </c>
      <c r="F198">
        <v>0</v>
      </c>
      <c r="G198">
        <v>174.11</v>
      </c>
      <c r="H198" t="s">
        <v>31</v>
      </c>
      <c r="I198" s="1">
        <f t="shared" si="3"/>
        <v>0.17411000000000001</v>
      </c>
    </row>
    <row r="199" spans="1:9" x14ac:dyDescent="0.3">
      <c r="A199" t="s">
        <v>216</v>
      </c>
      <c r="B199">
        <v>0.24218000000000001</v>
      </c>
      <c r="C199">
        <v>1.3914</v>
      </c>
      <c r="D199">
        <v>1</v>
      </c>
      <c r="E199">
        <v>1</v>
      </c>
      <c r="F199">
        <v>1</v>
      </c>
      <c r="G199">
        <v>275.22000000000003</v>
      </c>
      <c r="H199" t="s">
        <v>31</v>
      </c>
      <c r="I199" s="1">
        <f t="shared" si="3"/>
        <v>0.27522000000000002</v>
      </c>
    </row>
    <row r="200" spans="1:9" x14ac:dyDescent="0.3">
      <c r="A200" t="s">
        <v>217</v>
      </c>
      <c r="B200">
        <v>0.21892</v>
      </c>
      <c r="C200">
        <v>0.43593999999999999</v>
      </c>
      <c r="D200">
        <v>2</v>
      </c>
      <c r="E200">
        <v>2</v>
      </c>
      <c r="F200">
        <v>1</v>
      </c>
      <c r="G200">
        <v>422.12</v>
      </c>
      <c r="H200" t="s">
        <v>31</v>
      </c>
      <c r="I200" s="1">
        <f t="shared" si="3"/>
        <v>0.42212</v>
      </c>
    </row>
    <row r="201" spans="1:9" x14ac:dyDescent="0.3">
      <c r="A201" t="s">
        <v>218</v>
      </c>
      <c r="B201">
        <v>0.23455999999999999</v>
      </c>
      <c r="C201">
        <v>0.88239999999999996</v>
      </c>
      <c r="D201">
        <v>2</v>
      </c>
      <c r="E201">
        <v>2</v>
      </c>
      <c r="F201">
        <v>2</v>
      </c>
      <c r="G201">
        <v>307.12</v>
      </c>
      <c r="H201" t="s">
        <v>31</v>
      </c>
      <c r="I201" s="1">
        <f t="shared" si="3"/>
        <v>0.30712</v>
      </c>
    </row>
    <row r="202" spans="1:9" x14ac:dyDescent="0.3">
      <c r="A202" t="s">
        <v>219</v>
      </c>
      <c r="B202">
        <v>0.23849000000000001</v>
      </c>
      <c r="C202">
        <v>1.2514400000000001</v>
      </c>
      <c r="D202">
        <v>1</v>
      </c>
      <c r="E202">
        <v>1</v>
      </c>
      <c r="F202">
        <v>1</v>
      </c>
      <c r="G202">
        <v>323.95999999999998</v>
      </c>
      <c r="H202" t="s">
        <v>31</v>
      </c>
      <c r="I202" s="1">
        <f t="shared" si="3"/>
        <v>0.32395999999999997</v>
      </c>
    </row>
    <row r="203" spans="1:9" x14ac:dyDescent="0.3">
      <c r="A203" t="s">
        <v>220</v>
      </c>
      <c r="B203">
        <v>0.22169</v>
      </c>
      <c r="C203">
        <v>0.49478</v>
      </c>
      <c r="D203">
        <v>2</v>
      </c>
      <c r="E203">
        <v>2</v>
      </c>
      <c r="F203">
        <v>0</v>
      </c>
      <c r="G203">
        <v>274.41000000000003</v>
      </c>
      <c r="H203" t="s">
        <v>31</v>
      </c>
      <c r="I203" s="1">
        <f t="shared" si="3"/>
        <v>0.27441000000000004</v>
      </c>
    </row>
    <row r="204" spans="1:9" x14ac:dyDescent="0.3">
      <c r="A204" t="s">
        <v>221</v>
      </c>
      <c r="B204">
        <v>0.21692</v>
      </c>
      <c r="C204">
        <v>0.67264000000000002</v>
      </c>
      <c r="D204">
        <v>1</v>
      </c>
      <c r="E204">
        <v>1</v>
      </c>
      <c r="F204">
        <v>1</v>
      </c>
      <c r="G204">
        <v>254.05</v>
      </c>
      <c r="H204" t="s">
        <v>31</v>
      </c>
      <c r="I204" s="1">
        <f t="shared" si="3"/>
        <v>0.25405</v>
      </c>
    </row>
    <row r="205" spans="1:9" x14ac:dyDescent="0.3">
      <c r="A205" t="s">
        <v>222</v>
      </c>
      <c r="B205">
        <v>0.22889999999999999</v>
      </c>
      <c r="C205">
        <v>0.23923</v>
      </c>
      <c r="D205">
        <v>16</v>
      </c>
      <c r="E205">
        <v>16</v>
      </c>
      <c r="F205">
        <v>0</v>
      </c>
      <c r="G205">
        <v>314.33999999999997</v>
      </c>
      <c r="H205" t="s">
        <v>31</v>
      </c>
      <c r="I205" s="1">
        <f t="shared" si="3"/>
        <v>0.31433999999999995</v>
      </c>
    </row>
    <row r="206" spans="1:9" x14ac:dyDescent="0.3">
      <c r="A206" t="s">
        <v>223</v>
      </c>
      <c r="B206">
        <v>0.23821999999999999</v>
      </c>
      <c r="C206">
        <v>0.78430999999999995</v>
      </c>
      <c r="D206">
        <v>2</v>
      </c>
      <c r="E206">
        <v>2</v>
      </c>
      <c r="F206">
        <v>1</v>
      </c>
      <c r="G206">
        <v>252.83</v>
      </c>
      <c r="H206" t="s">
        <v>31</v>
      </c>
      <c r="I206" s="1">
        <f t="shared" si="3"/>
        <v>0.25283</v>
      </c>
    </row>
    <row r="207" spans="1:9" x14ac:dyDescent="0.3">
      <c r="A207" t="s">
        <v>224</v>
      </c>
      <c r="B207">
        <v>0.22850999999999999</v>
      </c>
      <c r="C207">
        <v>1.29247</v>
      </c>
      <c r="D207">
        <v>1</v>
      </c>
      <c r="E207">
        <v>1</v>
      </c>
      <c r="F207">
        <v>0</v>
      </c>
      <c r="G207">
        <v>443.7</v>
      </c>
      <c r="H207" t="s">
        <v>31</v>
      </c>
      <c r="I207" s="1">
        <f t="shared" si="3"/>
        <v>0.44369999999999998</v>
      </c>
    </row>
    <row r="208" spans="1:9" x14ac:dyDescent="0.3">
      <c r="A208" t="s">
        <v>225</v>
      </c>
      <c r="B208">
        <v>0.23172999999999999</v>
      </c>
      <c r="C208">
        <v>0.79393000000000002</v>
      </c>
      <c r="D208">
        <v>2</v>
      </c>
      <c r="E208">
        <v>2</v>
      </c>
      <c r="F208">
        <v>1</v>
      </c>
      <c r="G208">
        <v>284.86</v>
      </c>
      <c r="H208" t="s">
        <v>31</v>
      </c>
      <c r="I208" s="1">
        <f t="shared" si="3"/>
        <v>0.28486</v>
      </c>
    </row>
    <row r="209" spans="1:9" x14ac:dyDescent="0.3">
      <c r="A209" t="s">
        <v>226</v>
      </c>
      <c r="B209">
        <v>0.26382</v>
      </c>
      <c r="C209">
        <v>0.59323999999999999</v>
      </c>
      <c r="D209">
        <v>2</v>
      </c>
      <c r="E209">
        <v>2</v>
      </c>
      <c r="F209">
        <v>1</v>
      </c>
      <c r="G209">
        <v>271.44</v>
      </c>
      <c r="H209" t="s">
        <v>31</v>
      </c>
      <c r="I209" s="1">
        <f t="shared" si="3"/>
        <v>0.27144000000000001</v>
      </c>
    </row>
    <row r="210" spans="1:9" x14ac:dyDescent="0.3">
      <c r="A210" t="s">
        <v>227</v>
      </c>
      <c r="B210">
        <v>0.22317999999999999</v>
      </c>
      <c r="C210">
        <v>0.80069999999999997</v>
      </c>
      <c r="D210">
        <v>1</v>
      </c>
      <c r="E210">
        <v>1</v>
      </c>
      <c r="F210">
        <v>1</v>
      </c>
      <c r="G210">
        <v>278.19</v>
      </c>
      <c r="H210" t="s">
        <v>31</v>
      </c>
      <c r="I210" s="1">
        <f t="shared" si="3"/>
        <v>0.27818999999999999</v>
      </c>
    </row>
    <row r="211" spans="1:9" x14ac:dyDescent="0.3">
      <c r="A211" t="s">
        <v>228</v>
      </c>
      <c r="B211">
        <v>0.23372999999999999</v>
      </c>
      <c r="C211">
        <v>0.68874999999999997</v>
      </c>
      <c r="D211">
        <v>1</v>
      </c>
      <c r="E211">
        <v>1</v>
      </c>
      <c r="F211">
        <v>1</v>
      </c>
      <c r="G211">
        <v>344.45</v>
      </c>
      <c r="H211" t="s">
        <v>31</v>
      </c>
      <c r="I211" s="1">
        <f t="shared" si="3"/>
        <v>0.34444999999999998</v>
      </c>
    </row>
    <row r="212" spans="1:9" x14ac:dyDescent="0.3">
      <c r="A212" t="s">
        <v>229</v>
      </c>
      <c r="B212">
        <v>0.25650000000000001</v>
      </c>
      <c r="C212">
        <v>1.5419400000000001</v>
      </c>
      <c r="D212">
        <v>1</v>
      </c>
      <c r="E212">
        <v>1</v>
      </c>
      <c r="F212">
        <v>0</v>
      </c>
      <c r="G212">
        <v>278.38</v>
      </c>
      <c r="H212" t="s">
        <v>31</v>
      </c>
      <c r="I212" s="1">
        <f t="shared" si="3"/>
        <v>0.27838000000000002</v>
      </c>
    </row>
    <row r="213" spans="1:9" x14ac:dyDescent="0.3">
      <c r="A213" t="s">
        <v>230</v>
      </c>
      <c r="B213">
        <v>0.25213999999999998</v>
      </c>
      <c r="C213">
        <v>1.1618599999999999</v>
      </c>
      <c r="D213">
        <v>2</v>
      </c>
      <c r="E213">
        <v>2</v>
      </c>
      <c r="F213">
        <v>1</v>
      </c>
      <c r="G213">
        <v>267.26</v>
      </c>
      <c r="H213" t="s">
        <v>31</v>
      </c>
      <c r="I213" s="1">
        <f t="shared" si="3"/>
        <v>0.26726</v>
      </c>
    </row>
    <row r="214" spans="1:9" x14ac:dyDescent="0.3">
      <c r="A214" t="s">
        <v>231</v>
      </c>
      <c r="B214">
        <v>0.23916000000000001</v>
      </c>
      <c r="C214">
        <v>0.54505000000000003</v>
      </c>
      <c r="D214">
        <v>3</v>
      </c>
      <c r="E214">
        <v>3</v>
      </c>
      <c r="F214">
        <v>1</v>
      </c>
      <c r="G214">
        <v>217.31</v>
      </c>
      <c r="H214" t="s">
        <v>31</v>
      </c>
      <c r="I214" s="1">
        <f t="shared" si="3"/>
        <v>0.21731</v>
      </c>
    </row>
    <row r="215" spans="1:9" x14ac:dyDescent="0.3">
      <c r="A215" t="s">
        <v>232</v>
      </c>
      <c r="B215">
        <v>0.26771</v>
      </c>
      <c r="C215">
        <v>0.51027</v>
      </c>
      <c r="D215">
        <v>2</v>
      </c>
      <c r="E215">
        <v>2</v>
      </c>
      <c r="F215">
        <v>1</v>
      </c>
      <c r="G215">
        <v>261.76</v>
      </c>
      <c r="H215" t="s">
        <v>31</v>
      </c>
      <c r="I215" s="1">
        <f t="shared" si="3"/>
        <v>0.26175999999999999</v>
      </c>
    </row>
    <row r="216" spans="1:9" x14ac:dyDescent="0.3">
      <c r="A216" t="s">
        <v>233</v>
      </c>
      <c r="B216">
        <v>0.24113000000000001</v>
      </c>
      <c r="C216">
        <v>1.08291</v>
      </c>
      <c r="D216">
        <v>1</v>
      </c>
      <c r="E216">
        <v>1</v>
      </c>
      <c r="F216">
        <v>1</v>
      </c>
      <c r="G216">
        <v>210.91</v>
      </c>
      <c r="H216" t="s">
        <v>31</v>
      </c>
      <c r="I216" s="1">
        <f t="shared" si="3"/>
        <v>0.21090999999999999</v>
      </c>
    </row>
    <row r="217" spans="1:9" x14ac:dyDescent="0.3">
      <c r="A217" t="s">
        <v>234</v>
      </c>
      <c r="B217">
        <v>0.22905</v>
      </c>
      <c r="C217">
        <v>1.32464</v>
      </c>
      <c r="D217">
        <v>1</v>
      </c>
      <c r="E217">
        <v>1</v>
      </c>
      <c r="F217">
        <v>0</v>
      </c>
      <c r="G217">
        <v>564.77</v>
      </c>
      <c r="H217" t="s">
        <v>31</v>
      </c>
      <c r="I217" s="1">
        <f t="shared" si="3"/>
        <v>0.56476999999999999</v>
      </c>
    </row>
    <row r="218" spans="1:9" x14ac:dyDescent="0.3">
      <c r="A218" t="s">
        <v>235</v>
      </c>
      <c r="B218">
        <v>0.22564000000000001</v>
      </c>
      <c r="C218">
        <v>0.44836999999999999</v>
      </c>
      <c r="D218">
        <v>1</v>
      </c>
      <c r="E218">
        <v>1</v>
      </c>
      <c r="F218">
        <v>1</v>
      </c>
      <c r="G218">
        <v>380.43</v>
      </c>
      <c r="H218" t="s">
        <v>31</v>
      </c>
      <c r="I218" s="1">
        <f t="shared" si="3"/>
        <v>0.38042999999999999</v>
      </c>
    </row>
    <row r="219" spans="1:9" x14ac:dyDescent="0.3">
      <c r="A219" t="s">
        <v>236</v>
      </c>
      <c r="B219">
        <v>0.21548</v>
      </c>
      <c r="C219">
        <v>0.14496999999999999</v>
      </c>
      <c r="D219">
        <v>191</v>
      </c>
      <c r="E219">
        <v>191</v>
      </c>
      <c r="F219">
        <v>11</v>
      </c>
      <c r="G219">
        <v>2.31</v>
      </c>
      <c r="H219" t="s">
        <v>32</v>
      </c>
      <c r="I219" s="1">
        <f t="shared" si="3"/>
        <v>2.31</v>
      </c>
    </row>
    <row r="220" spans="1:9" x14ac:dyDescent="0.3">
      <c r="A220" t="s">
        <v>237</v>
      </c>
      <c r="B220">
        <v>0.23191000000000001</v>
      </c>
      <c r="C220">
        <v>0.48260999999999998</v>
      </c>
      <c r="D220">
        <v>3</v>
      </c>
      <c r="E220">
        <v>3</v>
      </c>
      <c r="F220">
        <v>1</v>
      </c>
      <c r="G220">
        <v>288.39999999999998</v>
      </c>
      <c r="H220" t="s">
        <v>31</v>
      </c>
      <c r="I220" s="1">
        <f t="shared" si="3"/>
        <v>0.28839999999999999</v>
      </c>
    </row>
    <row r="221" spans="1:9" x14ac:dyDescent="0.3">
      <c r="A221" t="s">
        <v>238</v>
      </c>
      <c r="B221">
        <v>0.24789</v>
      </c>
      <c r="C221">
        <v>1.4468700000000001</v>
      </c>
      <c r="D221">
        <v>1</v>
      </c>
      <c r="E221">
        <v>1</v>
      </c>
      <c r="F221">
        <v>1</v>
      </c>
      <c r="G221">
        <v>253.69</v>
      </c>
      <c r="H221" t="s">
        <v>31</v>
      </c>
      <c r="I221" s="1">
        <f t="shared" si="3"/>
        <v>0.25368999999999997</v>
      </c>
    </row>
    <row r="222" spans="1:9" x14ac:dyDescent="0.3">
      <c r="A222" t="s">
        <v>239</v>
      </c>
      <c r="B222">
        <v>0.21324000000000001</v>
      </c>
      <c r="C222">
        <v>0.27826000000000001</v>
      </c>
      <c r="D222">
        <v>2</v>
      </c>
      <c r="E222">
        <v>2</v>
      </c>
      <c r="F222">
        <v>1</v>
      </c>
      <c r="G222">
        <v>273.89</v>
      </c>
      <c r="H222" t="s">
        <v>31</v>
      </c>
      <c r="I222" s="1">
        <f t="shared" si="3"/>
        <v>0.27388999999999997</v>
      </c>
    </row>
    <row r="223" spans="1:9" x14ac:dyDescent="0.3">
      <c r="A223" t="s">
        <v>240</v>
      </c>
      <c r="B223">
        <v>0.23071</v>
      </c>
      <c r="C223">
        <v>0.64768000000000003</v>
      </c>
      <c r="D223">
        <v>1</v>
      </c>
      <c r="E223">
        <v>1</v>
      </c>
      <c r="F223">
        <v>0</v>
      </c>
      <c r="G223">
        <v>265.02</v>
      </c>
      <c r="H223" t="s">
        <v>31</v>
      </c>
      <c r="I223" s="1">
        <f t="shared" si="3"/>
        <v>0.26501999999999998</v>
      </c>
    </row>
    <row r="224" spans="1:9" x14ac:dyDescent="0.3">
      <c r="A224" t="s">
        <v>241</v>
      </c>
      <c r="B224">
        <v>0.23369999999999999</v>
      </c>
      <c r="C224">
        <v>0.32296000000000002</v>
      </c>
      <c r="D224">
        <v>18</v>
      </c>
      <c r="E224">
        <v>18</v>
      </c>
      <c r="F224">
        <v>2</v>
      </c>
      <c r="G224">
        <v>2.5299999999999998</v>
      </c>
      <c r="H224" t="s">
        <v>32</v>
      </c>
      <c r="I224" s="1">
        <f t="shared" si="3"/>
        <v>2.5299999999999998</v>
      </c>
    </row>
    <row r="225" spans="1:9" x14ac:dyDescent="0.3">
      <c r="A225" t="s">
        <v>242</v>
      </c>
      <c r="B225">
        <v>0.28764000000000001</v>
      </c>
      <c r="C225">
        <v>2.30755</v>
      </c>
      <c r="D225">
        <v>1</v>
      </c>
      <c r="E225">
        <v>1</v>
      </c>
      <c r="F225">
        <v>1</v>
      </c>
      <c r="G225">
        <v>198.25</v>
      </c>
      <c r="H225" t="s">
        <v>31</v>
      </c>
      <c r="I225" s="1">
        <f t="shared" si="3"/>
        <v>0.19825000000000001</v>
      </c>
    </row>
    <row r="226" spans="1:9" x14ac:dyDescent="0.3">
      <c r="A226" t="s">
        <v>243</v>
      </c>
      <c r="B226">
        <v>0.28188999999999997</v>
      </c>
      <c r="C226">
        <v>0.79412000000000005</v>
      </c>
      <c r="D226">
        <v>4</v>
      </c>
      <c r="E226">
        <v>4</v>
      </c>
      <c r="F226">
        <v>1</v>
      </c>
      <c r="G226">
        <v>271.85000000000002</v>
      </c>
      <c r="H226" t="s">
        <v>31</v>
      </c>
      <c r="I226" s="1">
        <f t="shared" si="3"/>
        <v>0.27185000000000004</v>
      </c>
    </row>
    <row r="227" spans="1:9" x14ac:dyDescent="0.3">
      <c r="A227" t="s">
        <v>244</v>
      </c>
      <c r="B227">
        <v>0.46182000000000001</v>
      </c>
      <c r="C227">
        <v>0.92876000000000003</v>
      </c>
      <c r="D227">
        <v>23</v>
      </c>
      <c r="E227">
        <v>23</v>
      </c>
      <c r="F227">
        <v>2</v>
      </c>
      <c r="G227">
        <v>251.18</v>
      </c>
      <c r="H227" t="s">
        <v>31</v>
      </c>
      <c r="I227" s="1">
        <f t="shared" si="3"/>
        <v>0.25118000000000001</v>
      </c>
    </row>
    <row r="228" spans="1:9" x14ac:dyDescent="0.3">
      <c r="A228" t="s">
        <v>245</v>
      </c>
      <c r="B228">
        <v>0.24726999999999999</v>
      </c>
      <c r="C228">
        <v>1.0311999999999999</v>
      </c>
      <c r="D228">
        <v>1</v>
      </c>
      <c r="E228">
        <v>1</v>
      </c>
      <c r="F228">
        <v>1</v>
      </c>
      <c r="G228">
        <v>304.24</v>
      </c>
      <c r="H228" t="s">
        <v>31</v>
      </c>
      <c r="I228" s="1">
        <f t="shared" si="3"/>
        <v>0.30424000000000001</v>
      </c>
    </row>
    <row r="229" spans="1:9" x14ac:dyDescent="0.3">
      <c r="A229" t="s">
        <v>246</v>
      </c>
      <c r="B229">
        <v>0.34</v>
      </c>
      <c r="C229">
        <v>0.94140000000000001</v>
      </c>
      <c r="D229">
        <v>19</v>
      </c>
      <c r="E229">
        <v>19</v>
      </c>
      <c r="F229">
        <v>2</v>
      </c>
      <c r="G229">
        <v>656.92</v>
      </c>
      <c r="H229" t="s">
        <v>31</v>
      </c>
      <c r="I229" s="1">
        <f t="shared" si="3"/>
        <v>0.65691999999999995</v>
      </c>
    </row>
    <row r="230" spans="1:9" x14ac:dyDescent="0.3">
      <c r="A230" t="s">
        <v>247</v>
      </c>
      <c r="B230">
        <v>0.23099</v>
      </c>
      <c r="C230">
        <v>0.58277999999999996</v>
      </c>
      <c r="D230">
        <v>2</v>
      </c>
      <c r="E230">
        <v>2</v>
      </c>
      <c r="F230">
        <v>1</v>
      </c>
      <c r="G230">
        <v>250.15</v>
      </c>
      <c r="H230" t="s">
        <v>31</v>
      </c>
      <c r="I230" s="1">
        <f t="shared" si="3"/>
        <v>0.25014999999999998</v>
      </c>
    </row>
    <row r="231" spans="1:9" x14ac:dyDescent="0.3">
      <c r="A231" t="s">
        <v>248</v>
      </c>
      <c r="B231">
        <v>0.24784</v>
      </c>
      <c r="C231">
        <v>0.83692999999999995</v>
      </c>
      <c r="D231">
        <v>4</v>
      </c>
      <c r="E231">
        <v>4</v>
      </c>
      <c r="F231">
        <v>2</v>
      </c>
      <c r="G231">
        <v>251.29</v>
      </c>
      <c r="H231" t="s">
        <v>31</v>
      </c>
      <c r="I231" s="1">
        <f t="shared" si="3"/>
        <v>0.25129000000000001</v>
      </c>
    </row>
    <row r="232" spans="1:9" x14ac:dyDescent="0.3">
      <c r="A232" t="s">
        <v>249</v>
      </c>
      <c r="B232">
        <v>0.21895000000000001</v>
      </c>
      <c r="C232">
        <v>0.61953000000000003</v>
      </c>
      <c r="D232">
        <v>1</v>
      </c>
      <c r="E232">
        <v>1</v>
      </c>
      <c r="F232">
        <v>0</v>
      </c>
      <c r="G232">
        <v>336.79</v>
      </c>
      <c r="H232" t="s">
        <v>31</v>
      </c>
      <c r="I232" s="1">
        <f t="shared" si="3"/>
        <v>0.33679000000000003</v>
      </c>
    </row>
    <row r="233" spans="1:9" x14ac:dyDescent="0.3">
      <c r="A233" t="s">
        <v>250</v>
      </c>
      <c r="B233">
        <v>0.22064</v>
      </c>
      <c r="C233">
        <v>1.01705</v>
      </c>
      <c r="D233">
        <v>3</v>
      </c>
      <c r="E233">
        <v>3</v>
      </c>
      <c r="F233">
        <v>0</v>
      </c>
      <c r="G233">
        <v>547.12</v>
      </c>
      <c r="H233" t="s">
        <v>31</v>
      </c>
      <c r="I233" s="1">
        <f t="shared" si="3"/>
        <v>0.54712000000000005</v>
      </c>
    </row>
    <row r="234" spans="1:9" x14ac:dyDescent="0.3">
      <c r="A234" t="s">
        <v>251</v>
      </c>
      <c r="B234">
        <v>0.23941000000000001</v>
      </c>
      <c r="C234">
        <v>1.2801</v>
      </c>
      <c r="D234">
        <v>1</v>
      </c>
      <c r="E234">
        <v>1</v>
      </c>
      <c r="F234">
        <v>1</v>
      </c>
      <c r="G234">
        <v>234.31</v>
      </c>
      <c r="H234" t="s">
        <v>31</v>
      </c>
      <c r="I234" s="1">
        <f t="shared" si="3"/>
        <v>0.23430999999999999</v>
      </c>
    </row>
    <row r="235" spans="1:9" x14ac:dyDescent="0.3">
      <c r="A235" t="s">
        <v>252</v>
      </c>
      <c r="B235">
        <v>0.2198</v>
      </c>
      <c r="C235">
        <v>0.64468000000000003</v>
      </c>
      <c r="D235">
        <v>2</v>
      </c>
      <c r="E235">
        <v>2</v>
      </c>
      <c r="F235">
        <v>1</v>
      </c>
      <c r="G235">
        <v>252.49</v>
      </c>
      <c r="H235" t="s">
        <v>31</v>
      </c>
      <c r="I235" s="1">
        <f t="shared" si="3"/>
        <v>0.25248999999999999</v>
      </c>
    </row>
    <row r="236" spans="1:9" x14ac:dyDescent="0.3">
      <c r="A236" t="s">
        <v>253</v>
      </c>
      <c r="B236">
        <v>0.23455000000000001</v>
      </c>
      <c r="C236">
        <v>0.40654000000000001</v>
      </c>
      <c r="D236">
        <v>2</v>
      </c>
      <c r="E236">
        <v>2</v>
      </c>
      <c r="F236">
        <v>1</v>
      </c>
      <c r="G236">
        <v>242.13</v>
      </c>
      <c r="H236" t="s">
        <v>31</v>
      </c>
      <c r="I236" s="1">
        <f t="shared" si="3"/>
        <v>0.24212999999999998</v>
      </c>
    </row>
    <row r="237" spans="1:9" x14ac:dyDescent="0.3">
      <c r="A237" t="s">
        <v>254</v>
      </c>
      <c r="B237">
        <v>0.28577999999999998</v>
      </c>
      <c r="C237">
        <v>0.42059999999999997</v>
      </c>
      <c r="D237">
        <v>17</v>
      </c>
      <c r="E237">
        <v>17</v>
      </c>
      <c r="F237">
        <v>0</v>
      </c>
      <c r="G237">
        <v>277.13</v>
      </c>
      <c r="H237" t="s">
        <v>31</v>
      </c>
      <c r="I237" s="1">
        <f t="shared" si="3"/>
        <v>0.27712999999999999</v>
      </c>
    </row>
    <row r="238" spans="1:9" x14ac:dyDescent="0.3">
      <c r="A238" t="s">
        <v>255</v>
      </c>
      <c r="B238">
        <v>0.27207999999999999</v>
      </c>
      <c r="C238">
        <v>2.0364</v>
      </c>
      <c r="D238">
        <v>3</v>
      </c>
      <c r="E238">
        <v>3</v>
      </c>
      <c r="F238">
        <v>1</v>
      </c>
      <c r="G238">
        <v>350.03</v>
      </c>
      <c r="H238" t="s">
        <v>31</v>
      </c>
      <c r="I238" s="1">
        <f t="shared" si="3"/>
        <v>0.35002999999999995</v>
      </c>
    </row>
    <row r="239" spans="1:9" x14ac:dyDescent="0.3">
      <c r="A239" t="s">
        <v>256</v>
      </c>
      <c r="B239">
        <v>0.25007000000000001</v>
      </c>
      <c r="C239">
        <v>2.13842</v>
      </c>
      <c r="D239">
        <v>1</v>
      </c>
      <c r="E239">
        <v>1</v>
      </c>
      <c r="F239">
        <v>1</v>
      </c>
      <c r="G239">
        <v>268.31</v>
      </c>
      <c r="H239" t="s">
        <v>31</v>
      </c>
      <c r="I239" s="1">
        <f t="shared" si="3"/>
        <v>0.26830999999999999</v>
      </c>
    </row>
    <row r="240" spans="1:9" x14ac:dyDescent="0.3">
      <c r="A240" t="s">
        <v>257</v>
      </c>
      <c r="B240">
        <v>0.21221999999999999</v>
      </c>
      <c r="C240">
        <v>0.31535999999999997</v>
      </c>
      <c r="D240">
        <v>1</v>
      </c>
      <c r="E240">
        <v>1</v>
      </c>
      <c r="F240">
        <v>1</v>
      </c>
      <c r="G240">
        <v>287.11</v>
      </c>
      <c r="H240" t="s">
        <v>31</v>
      </c>
      <c r="I240" s="1">
        <f t="shared" si="3"/>
        <v>0.28711000000000003</v>
      </c>
    </row>
    <row r="241" spans="1:9" x14ac:dyDescent="0.3">
      <c r="A241" t="s">
        <v>258</v>
      </c>
      <c r="B241">
        <v>0.22320000000000001</v>
      </c>
      <c r="C241">
        <v>0.68239000000000005</v>
      </c>
      <c r="D241">
        <v>2</v>
      </c>
      <c r="E241">
        <v>2</v>
      </c>
      <c r="F241">
        <v>1</v>
      </c>
      <c r="G241">
        <v>581.89</v>
      </c>
      <c r="H241" t="s">
        <v>31</v>
      </c>
      <c r="I241" s="1">
        <f t="shared" si="3"/>
        <v>0.58189000000000002</v>
      </c>
    </row>
    <row r="242" spans="1:9" s="2" customFormat="1" x14ac:dyDescent="0.3">
      <c r="A242" t="s">
        <v>259</v>
      </c>
      <c r="B242">
        <v>0.2228</v>
      </c>
      <c r="C242">
        <v>0.53600000000000003</v>
      </c>
      <c r="D242">
        <v>3</v>
      </c>
      <c r="E242">
        <v>3</v>
      </c>
      <c r="F242">
        <v>2</v>
      </c>
      <c r="G242">
        <v>376.51</v>
      </c>
      <c r="H242" t="s">
        <v>31</v>
      </c>
      <c r="I242" s="1">
        <f t="shared" si="3"/>
        <v>0.37651000000000001</v>
      </c>
    </row>
    <row r="243" spans="1:9" s="2" customFormat="1" x14ac:dyDescent="0.3">
      <c r="A243" t="s">
        <v>260</v>
      </c>
      <c r="B243">
        <v>0.23363</v>
      </c>
      <c r="C243">
        <v>0.84175</v>
      </c>
      <c r="D243">
        <v>1</v>
      </c>
      <c r="E243">
        <v>1</v>
      </c>
      <c r="F243">
        <v>1</v>
      </c>
      <c r="G243">
        <v>278.77999999999997</v>
      </c>
      <c r="H243" t="s">
        <v>31</v>
      </c>
      <c r="I243" s="1">
        <f t="shared" si="3"/>
        <v>0.27877999999999997</v>
      </c>
    </row>
    <row r="244" spans="1:9" s="2" customFormat="1" x14ac:dyDescent="0.3">
      <c r="A244" t="s">
        <v>261</v>
      </c>
      <c r="B244">
        <v>0.22567000000000001</v>
      </c>
      <c r="C244">
        <v>0.37008999999999997</v>
      </c>
      <c r="D244">
        <v>3</v>
      </c>
      <c r="E244">
        <v>3</v>
      </c>
      <c r="F244">
        <v>1</v>
      </c>
      <c r="G244">
        <v>261.22000000000003</v>
      </c>
      <c r="H244" t="s">
        <v>31</v>
      </c>
      <c r="I244" s="1">
        <f t="shared" si="3"/>
        <v>0.26122000000000001</v>
      </c>
    </row>
    <row r="245" spans="1:9" s="2" customFormat="1" x14ac:dyDescent="0.3">
      <c r="A245" t="s">
        <v>262</v>
      </c>
      <c r="B245">
        <v>0.22597999999999999</v>
      </c>
      <c r="C245">
        <v>0.52964</v>
      </c>
      <c r="D245">
        <v>17</v>
      </c>
      <c r="E245">
        <v>17</v>
      </c>
      <c r="F245">
        <v>0</v>
      </c>
      <c r="G245">
        <v>1.34</v>
      </c>
      <c r="H245" t="s">
        <v>32</v>
      </c>
      <c r="I245" s="1">
        <f t="shared" si="3"/>
        <v>1.34</v>
      </c>
    </row>
    <row r="246" spans="1:9" s="2" customFormat="1" x14ac:dyDescent="0.3">
      <c r="A246" t="s">
        <v>263</v>
      </c>
      <c r="B246">
        <v>0.23108000000000001</v>
      </c>
      <c r="C246">
        <v>0.48065000000000002</v>
      </c>
      <c r="D246">
        <v>2</v>
      </c>
      <c r="E246">
        <v>2</v>
      </c>
      <c r="F246">
        <v>1</v>
      </c>
      <c r="G246">
        <v>263.74</v>
      </c>
      <c r="H246" t="s">
        <v>31</v>
      </c>
      <c r="I246" s="1">
        <f t="shared" si="3"/>
        <v>0.26374000000000003</v>
      </c>
    </row>
    <row r="247" spans="1:9" s="2" customFormat="1" x14ac:dyDescent="0.3">
      <c r="A247" t="s">
        <v>264</v>
      </c>
      <c r="B247">
        <v>0.25314999999999999</v>
      </c>
      <c r="C247">
        <v>1.63649</v>
      </c>
      <c r="D247">
        <v>1</v>
      </c>
      <c r="E247">
        <v>1</v>
      </c>
      <c r="F247">
        <v>1</v>
      </c>
      <c r="G247">
        <v>314.42</v>
      </c>
      <c r="H247" t="s">
        <v>31</v>
      </c>
      <c r="I247" s="1">
        <f t="shared" si="3"/>
        <v>0.31442000000000003</v>
      </c>
    </row>
    <row r="248" spans="1:9" s="2" customFormat="1" x14ac:dyDescent="0.3">
      <c r="A248" t="s">
        <v>265</v>
      </c>
      <c r="B248">
        <v>0.25428000000000001</v>
      </c>
      <c r="C248">
        <v>0.80288000000000004</v>
      </c>
      <c r="D248">
        <v>3</v>
      </c>
      <c r="E248">
        <v>3</v>
      </c>
      <c r="F248">
        <v>1</v>
      </c>
      <c r="G248">
        <v>258.88</v>
      </c>
      <c r="H248" t="s">
        <v>31</v>
      </c>
      <c r="I248" s="1">
        <f t="shared" si="3"/>
        <v>0.25888</v>
      </c>
    </row>
    <row r="249" spans="1:9" s="2" customFormat="1" x14ac:dyDescent="0.3">
      <c r="A249" t="s">
        <v>266</v>
      </c>
      <c r="B249">
        <v>0.22034999999999999</v>
      </c>
      <c r="C249">
        <v>0.61704999999999999</v>
      </c>
      <c r="D249">
        <v>1</v>
      </c>
      <c r="E249">
        <v>1</v>
      </c>
      <c r="F249">
        <v>0</v>
      </c>
      <c r="G249">
        <v>504.01</v>
      </c>
      <c r="H249" t="s">
        <v>31</v>
      </c>
      <c r="I249" s="1">
        <f t="shared" si="3"/>
        <v>0.50400999999999996</v>
      </c>
    </row>
    <row r="250" spans="1:9" s="2" customFormat="1" x14ac:dyDescent="0.3">
      <c r="A250" t="s">
        <v>267</v>
      </c>
      <c r="B250">
        <v>0.21573999999999999</v>
      </c>
      <c r="C250">
        <v>0.37121999999999999</v>
      </c>
      <c r="D250">
        <v>5</v>
      </c>
      <c r="E250">
        <v>5</v>
      </c>
      <c r="F250">
        <v>2</v>
      </c>
      <c r="G250">
        <v>2.31</v>
      </c>
      <c r="H250" t="s">
        <v>32</v>
      </c>
      <c r="I250" s="1">
        <f t="shared" si="3"/>
        <v>2.31</v>
      </c>
    </row>
    <row r="251" spans="1:9" s="2" customFormat="1" x14ac:dyDescent="0.3">
      <c r="A251" t="s">
        <v>268</v>
      </c>
      <c r="B251">
        <v>0.22563</v>
      </c>
      <c r="C251">
        <v>0.59511000000000003</v>
      </c>
      <c r="D251">
        <v>2</v>
      </c>
      <c r="E251">
        <v>2</v>
      </c>
      <c r="F251">
        <v>1</v>
      </c>
      <c r="G251">
        <v>273.16000000000003</v>
      </c>
      <c r="H251" t="s">
        <v>31</v>
      </c>
      <c r="I251" s="1">
        <f t="shared" si="3"/>
        <v>0.27316000000000001</v>
      </c>
    </row>
    <row r="252" spans="1:9" s="2" customFormat="1" x14ac:dyDescent="0.3">
      <c r="A252" t="s">
        <v>269</v>
      </c>
      <c r="B252">
        <v>0.21521999999999999</v>
      </c>
      <c r="C252">
        <v>0.72419</v>
      </c>
      <c r="D252">
        <v>2</v>
      </c>
      <c r="E252">
        <v>2</v>
      </c>
      <c r="F252">
        <v>1</v>
      </c>
      <c r="G252">
        <v>677.36</v>
      </c>
      <c r="H252" t="s">
        <v>31</v>
      </c>
      <c r="I252" s="1">
        <f t="shared" si="3"/>
        <v>0.67735999999999996</v>
      </c>
    </row>
    <row r="253" spans="1:9" s="2" customFormat="1" x14ac:dyDescent="0.3">
      <c r="A253" t="s">
        <v>270</v>
      </c>
      <c r="B253">
        <v>0.22472</v>
      </c>
      <c r="C253">
        <v>0.77085999999999999</v>
      </c>
      <c r="D253">
        <v>3</v>
      </c>
      <c r="E253">
        <v>3</v>
      </c>
      <c r="F253">
        <v>1</v>
      </c>
      <c r="G253">
        <v>269.08999999999997</v>
      </c>
      <c r="H253" t="s">
        <v>31</v>
      </c>
      <c r="I253" s="1">
        <f t="shared" si="3"/>
        <v>0.26909</v>
      </c>
    </row>
    <row r="254" spans="1:9" s="2" customFormat="1" x14ac:dyDescent="0.3">
      <c r="A254" t="s">
        <v>271</v>
      </c>
      <c r="B254">
        <v>0.24406</v>
      </c>
      <c r="C254">
        <v>0.65554000000000001</v>
      </c>
      <c r="D254">
        <v>2</v>
      </c>
      <c r="E254">
        <v>2</v>
      </c>
      <c r="F254">
        <v>1</v>
      </c>
      <c r="G254">
        <v>186.08</v>
      </c>
      <c r="H254" t="s">
        <v>31</v>
      </c>
      <c r="I254" s="1">
        <f t="shared" si="3"/>
        <v>0.18608000000000002</v>
      </c>
    </row>
    <row r="255" spans="1:9" s="2" customFormat="1" x14ac:dyDescent="0.3">
      <c r="A255" t="s">
        <v>272</v>
      </c>
      <c r="B255">
        <v>0.22642999999999999</v>
      </c>
      <c r="C255">
        <v>0.34739999999999999</v>
      </c>
      <c r="D255">
        <v>4</v>
      </c>
      <c r="E255">
        <v>4</v>
      </c>
      <c r="F255">
        <v>2</v>
      </c>
      <c r="G255">
        <v>233.41</v>
      </c>
      <c r="H255" t="s">
        <v>31</v>
      </c>
      <c r="I255" s="1">
        <f t="shared" si="3"/>
        <v>0.23341000000000001</v>
      </c>
    </row>
    <row r="256" spans="1:9" s="2" customFormat="1" x14ac:dyDescent="0.3">
      <c r="A256" t="s">
        <v>273</v>
      </c>
      <c r="B256">
        <v>0.24337</v>
      </c>
      <c r="C256">
        <v>0.49802999999999997</v>
      </c>
      <c r="D256">
        <v>2</v>
      </c>
      <c r="E256">
        <v>2</v>
      </c>
      <c r="F256">
        <v>0</v>
      </c>
      <c r="G256">
        <v>461.09</v>
      </c>
      <c r="H256" t="s">
        <v>31</v>
      </c>
      <c r="I256" s="1">
        <f t="shared" si="3"/>
        <v>0.46109</v>
      </c>
    </row>
    <row r="257" spans="1:10" x14ac:dyDescent="0.3">
      <c r="A257" t="s">
        <v>274</v>
      </c>
      <c r="B257">
        <v>0.23168</v>
      </c>
      <c r="C257">
        <v>0.55059000000000002</v>
      </c>
      <c r="D257">
        <v>2</v>
      </c>
      <c r="E257">
        <v>2</v>
      </c>
      <c r="F257">
        <v>2</v>
      </c>
      <c r="G257">
        <v>245.61</v>
      </c>
      <c r="H257" t="s">
        <v>31</v>
      </c>
      <c r="I257" s="1">
        <f t="shared" si="3"/>
        <v>0.24561000000000002</v>
      </c>
    </row>
    <row r="258" spans="1:10" x14ac:dyDescent="0.3">
      <c r="A258" t="s">
        <v>275</v>
      </c>
      <c r="B258">
        <v>0.23422000000000001</v>
      </c>
      <c r="C258">
        <v>0.94972999999999996</v>
      </c>
      <c r="D258">
        <v>2</v>
      </c>
      <c r="E258">
        <v>2</v>
      </c>
      <c r="F258">
        <v>0</v>
      </c>
      <c r="G258">
        <v>253.61</v>
      </c>
      <c r="H258" t="s">
        <v>31</v>
      </c>
      <c r="I258" s="1">
        <f t="shared" si="3"/>
        <v>0.25361</v>
      </c>
    </row>
    <row r="259" spans="1:10" x14ac:dyDescent="0.3">
      <c r="A259" t="s">
        <v>276</v>
      </c>
      <c r="B259">
        <v>0.22985</v>
      </c>
      <c r="C259">
        <v>0.43134</v>
      </c>
      <c r="D259">
        <v>2</v>
      </c>
      <c r="E259">
        <v>2</v>
      </c>
      <c r="F259">
        <v>1</v>
      </c>
      <c r="G259">
        <v>225.19</v>
      </c>
      <c r="H259" t="s">
        <v>31</v>
      </c>
      <c r="I259" s="1">
        <f t="shared" ref="I259:I265" si="4">IF(H259="milliseconds",G259/1000,G259)</f>
        <v>0.22519</v>
      </c>
    </row>
    <row r="260" spans="1:10" x14ac:dyDescent="0.3">
      <c r="A260" t="s">
        <v>277</v>
      </c>
      <c r="B260">
        <v>0.25324999999999998</v>
      </c>
      <c r="C260">
        <v>0.60845000000000005</v>
      </c>
      <c r="D260">
        <v>11</v>
      </c>
      <c r="E260">
        <v>11</v>
      </c>
      <c r="F260">
        <v>3</v>
      </c>
      <c r="G260">
        <v>2.9</v>
      </c>
      <c r="H260" t="s">
        <v>32</v>
      </c>
      <c r="I260" s="1">
        <f t="shared" si="4"/>
        <v>2.9</v>
      </c>
    </row>
    <row r="261" spans="1:10" x14ac:dyDescent="0.3">
      <c r="A261" t="s">
        <v>278</v>
      </c>
      <c r="B261">
        <v>0.21435999999999999</v>
      </c>
      <c r="C261">
        <v>0.44350000000000001</v>
      </c>
      <c r="D261">
        <v>1</v>
      </c>
      <c r="E261">
        <v>1</v>
      </c>
      <c r="F261">
        <v>0</v>
      </c>
      <c r="G261">
        <v>262.62</v>
      </c>
      <c r="H261" t="s">
        <v>31</v>
      </c>
      <c r="I261" s="1">
        <f t="shared" si="4"/>
        <v>0.26262000000000002</v>
      </c>
    </row>
    <row r="262" spans="1:10" x14ac:dyDescent="0.3">
      <c r="A262" t="s">
        <v>279</v>
      </c>
      <c r="B262">
        <v>0.22395999999999999</v>
      </c>
      <c r="C262">
        <v>0.41538999999999998</v>
      </c>
      <c r="D262">
        <v>2</v>
      </c>
      <c r="E262">
        <v>2</v>
      </c>
      <c r="F262">
        <v>1</v>
      </c>
      <c r="G262">
        <v>288.85000000000002</v>
      </c>
      <c r="H262" t="s">
        <v>31</v>
      </c>
      <c r="I262" s="1">
        <f t="shared" si="4"/>
        <v>0.28885</v>
      </c>
    </row>
    <row r="263" spans="1:10" x14ac:dyDescent="0.3">
      <c r="A263" t="s">
        <v>280</v>
      </c>
      <c r="B263">
        <v>0.1908</v>
      </c>
      <c r="C263">
        <v>0.51826000000000005</v>
      </c>
      <c r="D263">
        <v>2</v>
      </c>
      <c r="E263">
        <v>2</v>
      </c>
      <c r="F263">
        <v>1</v>
      </c>
      <c r="G263">
        <v>255.09</v>
      </c>
      <c r="H263" t="s">
        <v>31</v>
      </c>
      <c r="I263" s="1">
        <f t="shared" si="4"/>
        <v>0.25508999999999998</v>
      </c>
    </row>
    <row r="264" spans="1:10" x14ac:dyDescent="0.3">
      <c r="A264" t="s">
        <v>281</v>
      </c>
      <c r="B264">
        <v>0.223</v>
      </c>
      <c r="C264">
        <v>0.43195</v>
      </c>
      <c r="D264">
        <v>1</v>
      </c>
      <c r="E264">
        <v>1</v>
      </c>
      <c r="F264">
        <v>1</v>
      </c>
      <c r="G264">
        <v>393.7</v>
      </c>
      <c r="H264" t="s">
        <v>31</v>
      </c>
      <c r="I264" s="1">
        <f t="shared" si="4"/>
        <v>0.39369999999999999</v>
      </c>
    </row>
    <row r="265" spans="1:10" x14ac:dyDescent="0.3">
      <c r="A265" t="s">
        <v>282</v>
      </c>
      <c r="B265">
        <v>0.22832</v>
      </c>
      <c r="C265">
        <v>0.48526999999999998</v>
      </c>
      <c r="D265">
        <v>5</v>
      </c>
      <c r="E265">
        <v>5</v>
      </c>
      <c r="F265">
        <v>1</v>
      </c>
      <c r="G265">
        <v>365.22</v>
      </c>
      <c r="H265" t="s">
        <v>31</v>
      </c>
      <c r="I265" s="1">
        <f t="shared" si="4"/>
        <v>0.36522000000000004</v>
      </c>
    </row>
    <row r="268" spans="1:10" x14ac:dyDescent="0.3">
      <c r="C268" t="s">
        <v>27</v>
      </c>
      <c r="D268" s="1">
        <f>AVERAGE(D2:D266)</f>
        <v>27.083333333333332</v>
      </c>
      <c r="E268" s="1">
        <f>AVERAGE(E2:E266)</f>
        <v>27.083333333333332</v>
      </c>
      <c r="F268" s="1">
        <f>AVERAGE(F2:F266)</f>
        <v>1.9318181818181819</v>
      </c>
      <c r="I268" s="1">
        <f>AVERAGE(I2:I266)</f>
        <v>2.4515237121212095</v>
      </c>
      <c r="J268" t="s">
        <v>32</v>
      </c>
    </row>
    <row r="269" spans="1:10" x14ac:dyDescent="0.3">
      <c r="C269" t="s">
        <v>28</v>
      </c>
      <c r="D269" s="1">
        <f>STDEVA(D2:D266)</f>
        <v>45.470676075499377</v>
      </c>
      <c r="E269" s="1">
        <f>STDEVA(E2:E266)</f>
        <v>45.470676075499377</v>
      </c>
      <c r="F269" s="1">
        <f>STDEVA(F2:F266)</f>
        <v>2.5668053017926291</v>
      </c>
      <c r="I269" s="1">
        <f>STDEVA(I2:I266)</f>
        <v>25.808934246085087</v>
      </c>
    </row>
    <row r="270" spans="1:10" x14ac:dyDescent="0.3">
      <c r="C270" t="s">
        <v>29</v>
      </c>
      <c r="D270">
        <f>COUNT(D2:D266)</f>
        <v>264</v>
      </c>
      <c r="E270">
        <f>COUNT(E2:E266)</f>
        <v>264</v>
      </c>
      <c r="F270">
        <f>COUNT(F2:F266)</f>
        <v>264</v>
      </c>
      <c r="I270">
        <f>COUNT(I2:I266)</f>
        <v>264</v>
      </c>
    </row>
    <row r="271" spans="1:10" ht="15" thickBot="1" x14ac:dyDescent="0.35">
      <c r="C271" t="s">
        <v>30</v>
      </c>
      <c r="D271" s="1">
        <f>D269/SQRT(D270)</f>
        <v>2.7985266569857461</v>
      </c>
      <c r="E271" s="1">
        <f>E269/SQRT(E270)</f>
        <v>2.7985266569857461</v>
      </c>
      <c r="F271" s="1">
        <f>F269/SQRT(F270)</f>
        <v>0.15797594582565541</v>
      </c>
      <c r="I271" s="1">
        <f>I269/SQRT(I270)</f>
        <v>1.5884300984690869</v>
      </c>
    </row>
    <row r="272" spans="1:10" x14ac:dyDescent="0.3">
      <c r="H272" s="3" t="s">
        <v>283</v>
      </c>
      <c r="I272" s="4">
        <f>MEDIAN(I2:I265)</f>
        <v>0.32785000000000003</v>
      </c>
    </row>
    <row r="273" spans="8:9" x14ac:dyDescent="0.3">
      <c r="H273" s="7" t="s">
        <v>284</v>
      </c>
      <c r="I273" s="8">
        <f>_xlfn.QUARTILE.INC(I1:I265, 1)</f>
        <v>0.2625075</v>
      </c>
    </row>
    <row r="274" spans="8:9" x14ac:dyDescent="0.3">
      <c r="H274" s="7" t="s">
        <v>285</v>
      </c>
      <c r="I274" s="8">
        <f>_xlfn.QUARTILE.INC(I2:I266, 3)</f>
        <v>0.66787249999999998</v>
      </c>
    </row>
    <row r="275" spans="8:9" ht="15" thickBot="1" x14ac:dyDescent="0.35">
      <c r="H275" s="5" t="s">
        <v>286</v>
      </c>
      <c r="I275" s="6">
        <f>I274-I273</f>
        <v>0.40536499999999998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4526-A292-4948-A6D3-42DE31199A36}">
  <dimension ref="A1:J63"/>
  <sheetViews>
    <sheetView topLeftCell="A46" workbookViewId="0">
      <selection activeCell="J63" sqref="J63"/>
    </sheetView>
  </sheetViews>
  <sheetFormatPr defaultRowHeight="14.4" x14ac:dyDescent="0.3"/>
  <cols>
    <col min="1" max="1" width="35.5546875" bestFit="1" customWidth="1"/>
    <col min="7" max="7" width="17.33203125" bestFit="1" customWidth="1"/>
    <col min="8" max="8" width="1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9" x14ac:dyDescent="0.3">
      <c r="A2" s="2" t="s">
        <v>34</v>
      </c>
      <c r="B2" s="2">
        <v>0.79920000000000002</v>
      </c>
      <c r="C2" s="2">
        <v>0.43428</v>
      </c>
      <c r="D2" s="2">
        <v>3399</v>
      </c>
      <c r="E2" s="2">
        <v>3399</v>
      </c>
      <c r="F2" s="2">
        <v>1678</v>
      </c>
      <c r="G2" s="2">
        <v>5985.61</v>
      </c>
      <c r="H2" s="2" t="s">
        <v>32</v>
      </c>
      <c r="I2" s="2">
        <f>IF(H2="seconds",G2/60,G2)</f>
        <v>99.760166666666663</v>
      </c>
    </row>
    <row r="3" spans="1:9" x14ac:dyDescent="0.3">
      <c r="A3" s="2" t="s">
        <v>35</v>
      </c>
      <c r="B3" s="2">
        <v>1.0590299999999999</v>
      </c>
      <c r="C3" s="2">
        <v>0.58294000000000001</v>
      </c>
      <c r="D3" s="2">
        <v>1247</v>
      </c>
      <c r="E3" s="2">
        <v>1247</v>
      </c>
      <c r="F3" s="2">
        <v>571</v>
      </c>
      <c r="G3" s="2">
        <v>444.35</v>
      </c>
      <c r="H3" s="2" t="s">
        <v>32</v>
      </c>
      <c r="I3" s="2">
        <f t="shared" ref="I3:I5" si="0">IF(H3="seconds",G3/60,G3)</f>
        <v>7.4058333333333337</v>
      </c>
    </row>
    <row r="4" spans="1:9" x14ac:dyDescent="0.3">
      <c r="A4" s="2" t="s">
        <v>36</v>
      </c>
      <c r="B4" s="2">
        <v>1.00854</v>
      </c>
      <c r="C4" s="2">
        <v>0.53369</v>
      </c>
      <c r="D4" s="2">
        <v>3628</v>
      </c>
      <c r="E4" s="2">
        <v>3628</v>
      </c>
      <c r="F4" s="2">
        <v>2407</v>
      </c>
      <c r="G4" s="2">
        <v>2419.33</v>
      </c>
      <c r="H4" s="2" t="s">
        <v>32</v>
      </c>
      <c r="I4" s="2">
        <f t="shared" si="0"/>
        <v>40.322166666666668</v>
      </c>
    </row>
    <row r="5" spans="1:9" x14ac:dyDescent="0.3">
      <c r="A5" s="2" t="s">
        <v>37</v>
      </c>
      <c r="B5" s="2">
        <v>1.05636</v>
      </c>
      <c r="C5" s="2">
        <v>0.56484999999999996</v>
      </c>
      <c r="D5" s="2">
        <v>1630</v>
      </c>
      <c r="E5" s="2">
        <v>1630</v>
      </c>
      <c r="F5" s="2">
        <v>865</v>
      </c>
      <c r="G5" s="2">
        <v>651.84</v>
      </c>
      <c r="H5" s="2" t="s">
        <v>32</v>
      </c>
      <c r="I5" s="2">
        <f t="shared" si="0"/>
        <v>10.864000000000001</v>
      </c>
    </row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60" spans="3:10" x14ac:dyDescent="0.3">
      <c r="C60" t="s">
        <v>27</v>
      </c>
      <c r="D60" s="1">
        <f>AVERAGE(D2:D58)</f>
        <v>2476</v>
      </c>
      <c r="E60" s="1">
        <f>AVERAGE(E2:E58)</f>
        <v>2476</v>
      </c>
      <c r="F60" s="1">
        <f>AVERAGE(F2:F58)</f>
        <v>1380.25</v>
      </c>
      <c r="I60" s="1">
        <f>AVERAGE(I2:I58)</f>
        <v>39.588041666666669</v>
      </c>
      <c r="J60" t="s">
        <v>38</v>
      </c>
    </row>
    <row r="61" spans="3:10" x14ac:dyDescent="0.3">
      <c r="C61" t="s">
        <v>28</v>
      </c>
      <c r="D61" s="1">
        <f>STDEVA(D2:D58)</f>
        <v>1211.7741813830937</v>
      </c>
      <c r="E61" s="1">
        <f>STDEVA(E2:E58)</f>
        <v>1211.7741813830937</v>
      </c>
      <c r="F61" s="1">
        <f>STDEVA(F2:F58)</f>
        <v>829.30467863144247</v>
      </c>
      <c r="I61" s="1">
        <f>STDEVA(I2:I58)</f>
        <v>42.747275427445757</v>
      </c>
    </row>
    <row r="62" spans="3:10" x14ac:dyDescent="0.3">
      <c r="C62" t="s">
        <v>29</v>
      </c>
      <c r="D62">
        <f>COUNT(D2:D58)</f>
        <v>4</v>
      </c>
      <c r="E62">
        <f>COUNT(E2:E58)</f>
        <v>4</v>
      </c>
      <c r="F62">
        <f>COUNT(F2:F58)</f>
        <v>4</v>
      </c>
      <c r="I62">
        <f>COUNT(I2:I58)</f>
        <v>4</v>
      </c>
    </row>
    <row r="63" spans="3:10" x14ac:dyDescent="0.3">
      <c r="C63" t="s">
        <v>30</v>
      </c>
      <c r="D63" s="1">
        <f>D61/SQRT(D62)</f>
        <v>605.88709069154686</v>
      </c>
      <c r="E63" s="1">
        <f>E61/SQRT(E62)</f>
        <v>605.88709069154686</v>
      </c>
      <c r="F63" s="1">
        <f>F61/SQRT(F62)</f>
        <v>414.65233931572124</v>
      </c>
      <c r="I63" s="1">
        <f>I61/SQRT(I62)</f>
        <v>21.373637713722879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D371-179A-43E1-AD89-F4374A32FC6E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Flywire</vt:lpstr>
      <vt:lpstr>Peng</vt:lpstr>
      <vt:lpstr>Processing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Tecuatl Tolama</dc:creator>
  <cp:lastModifiedBy>Carolina Tecuatl Tolama</cp:lastModifiedBy>
  <dcterms:created xsi:type="dcterms:W3CDTF">2026-01-12T19:59:18Z</dcterms:created>
  <dcterms:modified xsi:type="dcterms:W3CDTF">2026-05-06T13:31:12Z</dcterms:modified>
</cp:coreProperties>
</file>